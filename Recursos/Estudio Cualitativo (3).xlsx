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ttps://d.docs.live.net/19E2D85C2F619B40/Clubecommerce 247/"/>
    </mc:Choice>
  </mc:AlternateContent>
  <xr:revisionPtr revIDLastSave="94" documentId="11_390DF225982555A6A505814829DBF442F4A799C7" xr6:coauthVersionLast="47" xr6:coauthVersionMax="47" xr10:uidLastSave="{338E8502-6A6F-465D-A6F4-51047518066E}"/>
  <bookViews>
    <workbookView xWindow="-108" yWindow="-108" windowWidth="23256" windowHeight="13896" activeTab="1" xr2:uid="{00000000-000D-0000-FFFF-FFFF00000000}"/>
  </bookViews>
  <sheets>
    <sheet name="Tabla 1" sheetId="1" r:id="rId1"/>
    <sheet name="Hoj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4" i="2" l="1"/>
  <c r="E14" i="2"/>
  <c r="J2" i="2"/>
  <c r="C14" i="2" s="1"/>
  <c r="B21" i="1"/>
  <c r="G14" i="2" l="1"/>
  <c r="I14" i="2" l="1"/>
  <c r="J14" i="2" s="1"/>
</calcChain>
</file>

<file path=xl/sharedStrings.xml><?xml version="1.0" encoding="utf-8"?>
<sst xmlns="http://schemas.openxmlformats.org/spreadsheetml/2006/main" count="134" uniqueCount="59">
  <si>
    <t>ESTUDIO CUANTITATIVO</t>
  </si>
  <si>
    <t xml:space="preserve">CHECKLIST PARA ESCOGER UN PRODUCTO  </t>
  </si>
  <si>
    <t>Calificación (0-3)</t>
  </si>
  <si>
    <t>Parámetros</t>
  </si>
  <si>
    <t>El producto resuelve un Beneficio Emocional Masivo (Value Prop)</t>
  </si>
  <si>
    <t>→</t>
  </si>
  <si>
    <t>Poco</t>
  </si>
  <si>
    <t>Normal</t>
  </si>
  <si>
    <t>Mucho</t>
  </si>
  <si>
    <t>El producto tiene una propuesta única de ventas</t>
  </si>
  <si>
    <t>El producto es eléctrico o usa baterías</t>
  </si>
  <si>
    <t>Sí</t>
  </si>
  <si>
    <t>N/A</t>
  </si>
  <si>
    <t>No</t>
  </si>
  <si>
    <t>Lo venden reconocidas marcas nacional</t>
  </si>
  <si>
    <t>Posibilidades de combos</t>
  </si>
  <si>
    <t>Es frágil</t>
  </si>
  <si>
    <t>Contiene líquidos</t>
  </si>
  <si>
    <t>Reviews de Mercado Libre / Amazon</t>
  </si>
  <si>
    <t>3.0 - 4.0</t>
  </si>
  <si>
    <t>4 - 4.5</t>
  </si>
  <si>
    <t>4.5+</t>
  </si>
  <si>
    <t>Requiere aprobación de registro sanitario</t>
  </si>
  <si>
    <t>El producto se vende en Mercado Libre hace más de dos años (Validar mercado)</t>
  </si>
  <si>
    <t>2-3 años</t>
  </si>
  <si>
    <t>3-4 años</t>
  </si>
  <si>
    <t>(+) 4 años</t>
  </si>
  <si>
    <t>El producto se presta para crear marca y comunidad</t>
  </si>
  <si>
    <t>El producto se presta para hacer video creativo</t>
  </si>
  <si>
    <t>Otras marcas en Facebook, muestran estructuras de Ads robustas</t>
  </si>
  <si>
    <t>3+</t>
  </si>
  <si>
    <t>1 o 2</t>
  </si>
  <si>
    <t>Producto con alta oportunidad de un buen LTV (Potencial suscripción)</t>
  </si>
  <si>
    <t>Buena oportunidad de hacer cross selling</t>
  </si>
  <si>
    <t>El producto se presta para potenciales demandas</t>
  </si>
  <si>
    <t>El producto entra dentro de las categorías restringidas por FB, Mercado Libre, Tiktok</t>
  </si>
  <si>
    <t>El producto requiere tallas o diferentes tipos para poder vender</t>
  </si>
  <si>
    <t>Si</t>
  </si>
  <si>
    <t>TOTAL</t>
  </si>
  <si>
    <t>Minimo (75% de la puntuaxion maxima)</t>
  </si>
  <si>
    <t>Maximo</t>
  </si>
  <si>
    <t>CMV</t>
  </si>
  <si>
    <t>Bordado / Sublimado</t>
  </si>
  <si>
    <t>Empaque</t>
  </si>
  <si>
    <t>Etieuqeta</t>
  </si>
  <si>
    <t>Bolsa mensajeria</t>
  </si>
  <si>
    <t>Estiker guia</t>
  </si>
  <si>
    <t>Con envio</t>
  </si>
  <si>
    <t>Ropa deprotiva materna</t>
  </si>
  <si>
    <t>Costo Unitario &lt; 35%</t>
  </si>
  <si>
    <t>Costo valor plataformas 10%</t>
  </si>
  <si>
    <t>Costo de anucio 15%</t>
  </si>
  <si>
    <t>Costo de envio 15%</t>
  </si>
  <si>
    <t>Costo Total por Unidad</t>
  </si>
  <si>
    <t>Precio de Venta Estimado =100%</t>
  </si>
  <si>
    <t>Ganancia Neta por Unidad</t>
  </si>
  <si>
    <t>Ganancia Neta por Unidad %</t>
  </si>
  <si>
    <t xml:space="preserve"> $-   </t>
  </si>
  <si>
    <t>Colageno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</si>
</sst>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\ #,##0;[Red]\-&quot;$&quot;\ #,##0"/>
    <numFmt numFmtId="43" formatCode="_-* #,##0.00_-;\-* #,##0.00_-;_-* &quot;-&quot;??_-;_-@_-"/>
  </numFmts>
  <fonts count="13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5"/>
      <color rgb="FF00B050"/>
      <name val="Arial"/>
      <family val="2"/>
    </font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Arial"/>
      <family val="2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0"/>
      <color rgb="FF000000"/>
      <name val="Aptos Narrow"/>
      <family val="2"/>
    </font>
    <font>
      <b/>
      <sz val="10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7030A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rgb="FF0000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25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2" borderId="1" xfId="0" applyFont="1" applyFill="1" applyBorder="1"/>
    <xf numFmtId="0" fontId="3" fillId="2" borderId="2" xfId="0" applyFont="1" applyFill="1" applyBorder="1" applyAlignment="1">
      <alignment horizontal="center" vertical="center"/>
    </xf>
    <xf numFmtId="0" fontId="4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right"/>
    </xf>
    <xf numFmtId="0" fontId="5" fillId="0" borderId="0" xfId="0" applyFont="1"/>
    <xf numFmtId="0" fontId="4" fillId="0" borderId="3" xfId="0" applyFont="1" applyBorder="1"/>
    <xf numFmtId="0" fontId="4" fillId="0" borderId="1" xfId="0" applyFont="1" applyBorder="1" applyAlignment="1">
      <alignment horizontal="left"/>
    </xf>
    <xf numFmtId="43" fontId="4" fillId="0" borderId="1" xfId="1" applyFont="1" applyBorder="1" applyAlignment="1">
      <alignment horizontal="left"/>
    </xf>
    <xf numFmtId="0" fontId="4" fillId="0" borderId="3" xfId="0" applyFont="1" applyFill="1" applyBorder="1"/>
    <xf numFmtId="0" fontId="7" fillId="3" borderId="5" xfId="0" applyFont="1" applyFill="1" applyBorder="1"/>
    <xf numFmtId="0" fontId="2" fillId="0" borderId="1" xfId="0" applyFont="1" applyBorder="1"/>
    <xf numFmtId="0" fontId="4" fillId="0" borderId="1" xfId="0" applyFont="1" applyBorder="1"/>
    <xf numFmtId="0" fontId="8" fillId="3" borderId="6" xfId="0" applyFont="1" applyFill="1" applyBorder="1" applyAlignment="1">
      <alignment horizontal="right"/>
    </xf>
    <xf numFmtId="0" fontId="9" fillId="0" borderId="0" xfId="0" applyFont="1"/>
    <xf numFmtId="0" fontId="10" fillId="0" borderId="0" xfId="0" applyFont="1"/>
    <xf numFmtId="6" fontId="10" fillId="0" borderId="0" xfId="0" applyNumberFormat="1" applyFont="1"/>
    <xf numFmtId="6" fontId="10" fillId="4" borderId="0" xfId="0" applyNumberFormat="1" applyFont="1" applyFill="1"/>
    <xf numFmtId="0" fontId="11" fillId="0" borderId="0" xfId="0" applyFont="1"/>
    <xf numFmtId="0" fontId="12" fillId="0" borderId="0" xfId="0" applyFont="1" applyAlignment="1">
      <alignment vertical="center" wrapText="1"/>
    </xf>
    <xf numFmtId="6" fontId="11" fillId="0" borderId="0" xfId="0" applyNumberFormat="1" applyFont="1"/>
    <xf numFmtId="10" fontId="11" fillId="0" borderId="0" xfId="0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zoomScaleNormal="100" workbookViewId="0">
      <selection activeCell="D22" sqref="D22"/>
    </sheetView>
  </sheetViews>
  <sheetFormatPr baseColWidth="10" defaultColWidth="11.44140625" defaultRowHeight="14.4"/>
  <cols>
    <col min="1" max="1" width="70.44140625" bestFit="1" customWidth="1"/>
    <col min="2" max="2" width="19.5546875" bestFit="1" customWidth="1"/>
    <col min="4" max="4" width="70.44140625" bestFit="1" customWidth="1"/>
    <col min="5" max="5" width="13.5546875" bestFit="1" customWidth="1"/>
    <col min="6" max="6" width="11.44140625" bestFit="1" customWidth="1"/>
    <col min="7" max="7" width="10.5546875" bestFit="1" customWidth="1"/>
  </cols>
  <sheetData>
    <row r="1" spans="1:9" ht="15.6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ht="15.6">
      <c r="A2" s="3" t="s">
        <v>1</v>
      </c>
      <c r="B2" s="4" t="s">
        <v>2</v>
      </c>
      <c r="C2" s="5"/>
      <c r="D2" s="3" t="s">
        <v>3</v>
      </c>
      <c r="E2" s="6">
        <v>1</v>
      </c>
      <c r="F2" s="6">
        <v>2</v>
      </c>
      <c r="G2" s="6">
        <v>3</v>
      </c>
      <c r="H2" s="2"/>
      <c r="I2" s="2"/>
    </row>
    <row r="3" spans="1:9" ht="19.2">
      <c r="A3" s="12" t="s">
        <v>4</v>
      </c>
      <c r="B3" s="7">
        <v>3</v>
      </c>
      <c r="C3" s="8" t="s">
        <v>5</v>
      </c>
      <c r="D3" s="9" t="s">
        <v>4</v>
      </c>
      <c r="E3" s="10" t="s">
        <v>6</v>
      </c>
      <c r="F3" s="10" t="s">
        <v>7</v>
      </c>
      <c r="G3" s="10" t="s">
        <v>8</v>
      </c>
      <c r="H3" s="2"/>
      <c r="I3" s="2"/>
    </row>
    <row r="4" spans="1:9" ht="19.2">
      <c r="A4" s="12" t="s">
        <v>9</v>
      </c>
      <c r="B4" s="7">
        <v>2</v>
      </c>
      <c r="C4" s="8" t="s">
        <v>5</v>
      </c>
      <c r="D4" s="9" t="s">
        <v>9</v>
      </c>
      <c r="E4" s="10" t="s">
        <v>6</v>
      </c>
      <c r="F4" s="10" t="s">
        <v>7</v>
      </c>
      <c r="G4" s="10" t="s">
        <v>8</v>
      </c>
      <c r="H4" s="2"/>
      <c r="I4" s="2"/>
    </row>
    <row r="5" spans="1:9" ht="19.2">
      <c r="A5" s="12" t="s">
        <v>10</v>
      </c>
      <c r="B5" s="7">
        <v>3</v>
      </c>
      <c r="C5" s="8" t="s">
        <v>5</v>
      </c>
      <c r="D5" s="9" t="s">
        <v>10</v>
      </c>
      <c r="E5" s="10" t="s">
        <v>11</v>
      </c>
      <c r="F5" s="10" t="s">
        <v>12</v>
      </c>
      <c r="G5" s="10" t="s">
        <v>13</v>
      </c>
      <c r="H5" s="2"/>
      <c r="I5" s="2"/>
    </row>
    <row r="6" spans="1:9" ht="19.2">
      <c r="A6" s="12" t="s">
        <v>14</v>
      </c>
      <c r="B6" s="7">
        <v>1</v>
      </c>
      <c r="C6" s="8"/>
      <c r="D6" s="9" t="s">
        <v>14</v>
      </c>
      <c r="E6" s="10" t="s">
        <v>11</v>
      </c>
      <c r="F6" s="10" t="s">
        <v>12</v>
      </c>
      <c r="G6" s="10" t="s">
        <v>13</v>
      </c>
      <c r="H6" s="2"/>
      <c r="I6" s="2"/>
    </row>
    <row r="7" spans="1:9" ht="19.2">
      <c r="A7" s="12" t="s">
        <v>15</v>
      </c>
      <c r="B7" s="7">
        <v>3</v>
      </c>
      <c r="C7" s="8" t="s">
        <v>5</v>
      </c>
      <c r="D7" s="9" t="s">
        <v>15</v>
      </c>
      <c r="E7" s="10" t="s">
        <v>13</v>
      </c>
      <c r="F7" s="10" t="s">
        <v>12</v>
      </c>
      <c r="G7" s="10" t="s">
        <v>11</v>
      </c>
      <c r="H7" s="2"/>
      <c r="I7" s="2"/>
    </row>
    <row r="8" spans="1:9" ht="19.2">
      <c r="A8" s="12" t="s">
        <v>16</v>
      </c>
      <c r="B8" s="7">
        <v>3</v>
      </c>
      <c r="C8" s="8" t="s">
        <v>5</v>
      </c>
      <c r="D8" s="9" t="s">
        <v>16</v>
      </c>
      <c r="E8" s="10" t="s">
        <v>8</v>
      </c>
      <c r="F8" s="10" t="s">
        <v>7</v>
      </c>
      <c r="G8" s="10" t="s">
        <v>13</v>
      </c>
      <c r="H8" s="2"/>
      <c r="I8" s="2"/>
    </row>
    <row r="9" spans="1:9" ht="19.2">
      <c r="A9" s="12" t="s">
        <v>17</v>
      </c>
      <c r="B9" s="7">
        <v>3</v>
      </c>
      <c r="C9" s="8" t="s">
        <v>5</v>
      </c>
      <c r="D9" s="9" t="s">
        <v>17</v>
      </c>
      <c r="E9" s="10" t="s">
        <v>11</v>
      </c>
      <c r="F9" s="10" t="s">
        <v>6</v>
      </c>
      <c r="G9" s="10" t="s">
        <v>13</v>
      </c>
      <c r="H9" s="2"/>
      <c r="I9" s="2"/>
    </row>
    <row r="10" spans="1:9" ht="19.2">
      <c r="A10" s="12" t="s">
        <v>18</v>
      </c>
      <c r="B10" s="7">
        <v>3</v>
      </c>
      <c r="C10" s="8" t="s">
        <v>5</v>
      </c>
      <c r="D10" s="9" t="s">
        <v>18</v>
      </c>
      <c r="E10" s="11" t="s">
        <v>19</v>
      </c>
      <c r="F10" s="10" t="s">
        <v>20</v>
      </c>
      <c r="G10" s="10" t="s">
        <v>21</v>
      </c>
      <c r="H10" s="2"/>
      <c r="I10" s="2"/>
    </row>
    <row r="11" spans="1:9" ht="19.2">
      <c r="A11" s="12" t="s">
        <v>22</v>
      </c>
      <c r="B11" s="7">
        <v>3</v>
      </c>
      <c r="C11" s="8" t="s">
        <v>5</v>
      </c>
      <c r="D11" s="9" t="s">
        <v>22</v>
      </c>
      <c r="E11" s="10" t="s">
        <v>11</v>
      </c>
      <c r="F11" s="10" t="s">
        <v>12</v>
      </c>
      <c r="G11" s="10" t="s">
        <v>13</v>
      </c>
      <c r="H11" s="2"/>
      <c r="I11" s="2"/>
    </row>
    <row r="12" spans="1:9" ht="19.2">
      <c r="A12" s="12" t="s">
        <v>23</v>
      </c>
      <c r="B12" s="7">
        <v>1</v>
      </c>
      <c r="C12" s="8" t="s">
        <v>5</v>
      </c>
      <c r="D12" s="9" t="s">
        <v>23</v>
      </c>
      <c r="E12" s="10" t="s">
        <v>24</v>
      </c>
      <c r="F12" s="10" t="s">
        <v>25</v>
      </c>
      <c r="G12" s="10" t="s">
        <v>26</v>
      </c>
      <c r="H12" s="2"/>
      <c r="I12" s="2"/>
    </row>
    <row r="13" spans="1:9" ht="19.2">
      <c r="A13" s="12" t="s">
        <v>27</v>
      </c>
      <c r="B13" s="7">
        <v>3</v>
      </c>
      <c r="C13" s="8" t="s">
        <v>5</v>
      </c>
      <c r="D13" s="9" t="s">
        <v>27</v>
      </c>
      <c r="E13" s="10" t="s">
        <v>13</v>
      </c>
      <c r="F13" s="10" t="s">
        <v>7</v>
      </c>
      <c r="G13" s="10" t="s">
        <v>8</v>
      </c>
      <c r="H13" s="2"/>
      <c r="I13" s="2"/>
    </row>
    <row r="14" spans="1:9" ht="19.2">
      <c r="A14" s="12" t="s">
        <v>28</v>
      </c>
      <c r="B14" s="7">
        <v>3</v>
      </c>
      <c r="C14" s="8" t="s">
        <v>5</v>
      </c>
      <c r="D14" s="9" t="s">
        <v>28</v>
      </c>
      <c r="E14" s="10" t="s">
        <v>13</v>
      </c>
      <c r="F14" s="10" t="s">
        <v>7</v>
      </c>
      <c r="G14" s="10" t="s">
        <v>8</v>
      </c>
      <c r="H14" s="2"/>
      <c r="I14" s="2"/>
    </row>
    <row r="15" spans="1:9" ht="19.2">
      <c r="A15" s="12" t="s">
        <v>29</v>
      </c>
      <c r="B15" s="7">
        <v>1</v>
      </c>
      <c r="C15" s="8" t="s">
        <v>5</v>
      </c>
      <c r="D15" s="9" t="s">
        <v>29</v>
      </c>
      <c r="E15" s="10" t="s">
        <v>30</v>
      </c>
      <c r="F15" s="10" t="s">
        <v>31</v>
      </c>
      <c r="G15" s="10" t="s">
        <v>13</v>
      </c>
      <c r="H15" s="2"/>
      <c r="I15" s="2"/>
    </row>
    <row r="16" spans="1:9" ht="19.2">
      <c r="A16" s="12" t="s">
        <v>32</v>
      </c>
      <c r="B16" s="7">
        <v>3</v>
      </c>
      <c r="C16" s="8" t="s">
        <v>5</v>
      </c>
      <c r="D16" s="9" t="s">
        <v>32</v>
      </c>
      <c r="E16" s="10" t="s">
        <v>13</v>
      </c>
      <c r="F16" s="10" t="s">
        <v>7</v>
      </c>
      <c r="G16" s="10" t="s">
        <v>8</v>
      </c>
      <c r="H16" s="2"/>
      <c r="I16" s="2"/>
    </row>
    <row r="17" spans="1:9" ht="19.2">
      <c r="A17" s="12" t="s">
        <v>33</v>
      </c>
      <c r="B17" s="7">
        <v>3</v>
      </c>
      <c r="C17" s="8" t="s">
        <v>5</v>
      </c>
      <c r="D17" s="9" t="s">
        <v>33</v>
      </c>
      <c r="E17" s="10" t="s">
        <v>13</v>
      </c>
      <c r="F17" s="10" t="s">
        <v>7</v>
      </c>
      <c r="G17" s="10" t="s">
        <v>8</v>
      </c>
      <c r="H17" s="2"/>
      <c r="I17" s="2"/>
    </row>
    <row r="18" spans="1:9" ht="19.2">
      <c r="A18" s="12" t="s">
        <v>34</v>
      </c>
      <c r="B18" s="7">
        <v>2</v>
      </c>
      <c r="C18" s="8" t="s">
        <v>5</v>
      </c>
      <c r="D18" s="9" t="s">
        <v>34</v>
      </c>
      <c r="E18" s="10" t="s">
        <v>8</v>
      </c>
      <c r="F18" s="10" t="s">
        <v>7</v>
      </c>
      <c r="G18" s="10" t="s">
        <v>13</v>
      </c>
      <c r="I18" s="2"/>
    </row>
    <row r="19" spans="1:9" ht="19.2">
      <c r="A19" s="12" t="s">
        <v>35</v>
      </c>
      <c r="B19" s="7">
        <v>3</v>
      </c>
      <c r="C19" s="8" t="s">
        <v>5</v>
      </c>
      <c r="D19" s="9" t="s">
        <v>35</v>
      </c>
      <c r="E19" s="10" t="s">
        <v>11</v>
      </c>
      <c r="F19" s="10" t="s">
        <v>12</v>
      </c>
      <c r="G19" s="10" t="s">
        <v>13</v>
      </c>
      <c r="I19" s="2"/>
    </row>
    <row r="20" spans="1:9" ht="19.2">
      <c r="A20" s="12" t="s">
        <v>36</v>
      </c>
      <c r="B20" s="7">
        <v>3</v>
      </c>
      <c r="C20" s="8" t="s">
        <v>5</v>
      </c>
      <c r="D20" s="9" t="s">
        <v>36</v>
      </c>
      <c r="E20" s="10" t="s">
        <v>37</v>
      </c>
      <c r="F20" s="10" t="s">
        <v>12</v>
      </c>
      <c r="G20" s="10" t="s">
        <v>13</v>
      </c>
      <c r="H20" s="2"/>
      <c r="I20" s="2"/>
    </row>
    <row r="21" spans="1:9" ht="15.6">
      <c r="A21" s="13" t="s">
        <v>38</v>
      </c>
      <c r="B21" s="16">
        <f>SUM(B3:B20)</f>
        <v>46</v>
      </c>
      <c r="C21" s="2"/>
      <c r="D21" s="2"/>
      <c r="E21" s="2"/>
      <c r="F21" s="2"/>
      <c r="G21" s="2"/>
      <c r="H21" s="2"/>
      <c r="I21" s="2"/>
    </row>
    <row r="22" spans="1:9" ht="15.6">
      <c r="A22" s="14" t="s">
        <v>39</v>
      </c>
      <c r="B22" s="15">
        <v>40</v>
      </c>
      <c r="C22" s="5"/>
      <c r="D22" s="2"/>
      <c r="E22" s="2"/>
      <c r="F22" s="2"/>
      <c r="G22" s="2"/>
      <c r="H22" s="2"/>
      <c r="I22" s="2"/>
    </row>
    <row r="23" spans="1:9" ht="15.6">
      <c r="A23" s="14" t="s">
        <v>40</v>
      </c>
      <c r="B23" s="14">
        <v>54</v>
      </c>
      <c r="C23" s="2"/>
      <c r="D23" s="2"/>
      <c r="E23" s="2"/>
      <c r="F23" s="2"/>
      <c r="G23" s="2"/>
      <c r="H23" s="2"/>
      <c r="I23" s="2"/>
    </row>
    <row r="24" spans="1:9" ht="15.6">
      <c r="A24" s="2"/>
      <c r="B24" s="2"/>
      <c r="C24" s="2"/>
      <c r="D24" s="2"/>
      <c r="E24" s="2"/>
      <c r="F24" s="2"/>
      <c r="G24" s="2"/>
      <c r="H24" s="2"/>
      <c r="I24" s="2"/>
    </row>
    <row r="25" spans="1:9" ht="15.6">
      <c r="A25" s="2"/>
      <c r="B25" s="2"/>
      <c r="C25" s="2"/>
      <c r="D25" s="2"/>
      <c r="E25" s="2"/>
      <c r="F25" s="2"/>
      <c r="G25" s="2"/>
      <c r="H25" s="2"/>
      <c r="I25" s="2"/>
    </row>
    <row r="26" spans="1:9" ht="15.6">
      <c r="A26" s="2"/>
      <c r="B26" s="2"/>
      <c r="C26" s="2"/>
      <c r="D26" s="2"/>
      <c r="E26" s="2"/>
      <c r="F26" s="2"/>
      <c r="G26" s="2"/>
      <c r="H26" s="2"/>
      <c r="I26" s="2"/>
    </row>
    <row r="27" spans="1:9" ht="15.6">
      <c r="A27" s="2"/>
      <c r="B27" s="2"/>
      <c r="C27" s="2"/>
      <c r="D27" s="2"/>
      <c r="E27" s="2"/>
      <c r="F27" s="2"/>
      <c r="G27" s="2"/>
      <c r="H27" s="2"/>
      <c r="I27" s="2"/>
    </row>
    <row r="28" spans="1:9" ht="15.6">
      <c r="A28" s="2"/>
      <c r="B28" s="2"/>
      <c r="C28" s="2"/>
      <c r="D28" s="2"/>
      <c r="E28" s="2"/>
      <c r="F28" s="2"/>
      <c r="G28" s="2"/>
      <c r="H28" s="2"/>
      <c r="I28" s="2"/>
    </row>
    <row r="29" spans="1:9" ht="15.6">
      <c r="A29" s="2"/>
      <c r="B29" s="2"/>
      <c r="C29" s="2"/>
      <c r="D29" s="2"/>
      <c r="E29" s="2"/>
      <c r="F29" s="2"/>
      <c r="G29" s="2"/>
      <c r="H29" s="2"/>
      <c r="I2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5A061-3DC3-429B-B350-A6BF01650579}">
  <dimension ref="A1:J22"/>
  <sheetViews>
    <sheetView tabSelected="1" workbookViewId="0">
      <selection activeCell="F17" sqref="F17"/>
    </sheetView>
  </sheetViews>
  <sheetFormatPr baseColWidth="10" defaultRowHeight="14.4"/>
  <cols>
    <col min="2" max="2" width="22.6640625" bestFit="1" customWidth="1"/>
    <col min="3" max="3" width="19.77734375" bestFit="1" customWidth="1"/>
    <col min="4" max="4" width="26.5546875" bestFit="1" customWidth="1"/>
    <col min="5" max="5" width="19.6640625" bestFit="1" customWidth="1"/>
    <col min="6" max="6" width="18.5546875" bestFit="1" customWidth="1"/>
    <col min="7" max="7" width="21.5546875" bestFit="1" customWidth="1"/>
    <col min="8" max="8" width="30.21875" bestFit="1" customWidth="1"/>
    <col min="9" max="9" width="24.109375" bestFit="1" customWidth="1"/>
    <col min="10" max="10" width="26.5546875" bestFit="1" customWidth="1"/>
  </cols>
  <sheetData>
    <row r="1" spans="1:10">
      <c r="A1" s="17"/>
      <c r="B1" s="18"/>
      <c r="C1" s="17" t="s">
        <v>41</v>
      </c>
      <c r="D1" s="17" t="s">
        <v>42</v>
      </c>
      <c r="E1" s="17" t="s">
        <v>43</v>
      </c>
      <c r="F1" s="17" t="s">
        <v>44</v>
      </c>
      <c r="G1" s="17" t="s">
        <v>45</v>
      </c>
      <c r="H1" s="17" t="s">
        <v>46</v>
      </c>
      <c r="I1" s="18"/>
      <c r="J1" s="17" t="s">
        <v>38</v>
      </c>
    </row>
    <row r="2" spans="1:10">
      <c r="A2" s="17">
        <v>1</v>
      </c>
      <c r="B2" s="18" t="s">
        <v>58</v>
      </c>
      <c r="C2" s="19">
        <v>60000</v>
      </c>
      <c r="D2" s="19">
        <v>0</v>
      </c>
      <c r="E2" s="19">
        <v>0</v>
      </c>
      <c r="F2" s="19">
        <v>0</v>
      </c>
      <c r="G2" s="19">
        <v>0</v>
      </c>
      <c r="H2" s="19">
        <v>0</v>
      </c>
      <c r="I2" s="18"/>
      <c r="J2" s="20">
        <f>SUM(C2:H2)</f>
        <v>60000</v>
      </c>
    </row>
    <row r="3" spans="1:10">
      <c r="A3" s="17">
        <v>2</v>
      </c>
      <c r="B3" s="18"/>
      <c r="C3" s="19"/>
      <c r="D3" s="19"/>
      <c r="E3" s="19"/>
      <c r="F3" s="19"/>
      <c r="G3" s="19"/>
      <c r="H3" s="19"/>
      <c r="I3" s="18"/>
      <c r="J3" s="20"/>
    </row>
    <row r="4" spans="1:10">
      <c r="A4" s="17">
        <v>3</v>
      </c>
      <c r="B4" s="18"/>
      <c r="C4" s="19"/>
      <c r="D4" s="19"/>
      <c r="E4" s="19"/>
      <c r="F4" s="19"/>
      <c r="G4" s="19"/>
      <c r="H4" s="19"/>
      <c r="I4" s="18"/>
      <c r="J4" s="20"/>
    </row>
    <row r="5" spans="1:10">
      <c r="A5" s="17">
        <v>4</v>
      </c>
      <c r="B5" s="21"/>
      <c r="C5" s="19"/>
      <c r="D5" s="19"/>
      <c r="E5" s="19"/>
      <c r="F5" s="19"/>
      <c r="G5" s="19"/>
      <c r="H5" s="19"/>
      <c r="I5" s="18"/>
      <c r="J5" s="20"/>
    </row>
    <row r="6" spans="1:10">
      <c r="A6" s="17">
        <v>5</v>
      </c>
      <c r="B6" s="21"/>
      <c r="C6" s="19"/>
      <c r="D6" s="19"/>
      <c r="E6" s="19"/>
      <c r="F6" s="19"/>
      <c r="G6" s="19"/>
      <c r="H6" s="19"/>
      <c r="I6" s="18"/>
      <c r="J6" s="20"/>
    </row>
    <row r="7" spans="1:10">
      <c r="A7" s="17">
        <v>6</v>
      </c>
      <c r="B7" s="21"/>
      <c r="C7" s="19"/>
      <c r="D7" s="19"/>
      <c r="E7" s="19"/>
      <c r="F7" s="19"/>
      <c r="G7" s="19"/>
      <c r="H7" s="19"/>
      <c r="I7" s="18"/>
      <c r="J7" s="20"/>
    </row>
    <row r="8" spans="1:10">
      <c r="A8" s="17">
        <v>7</v>
      </c>
      <c r="B8" s="21"/>
      <c r="C8" s="19"/>
      <c r="D8" s="19"/>
      <c r="E8" s="19"/>
      <c r="F8" s="19"/>
      <c r="G8" s="19"/>
      <c r="H8" s="19"/>
      <c r="I8" s="18"/>
      <c r="J8" s="20"/>
    </row>
    <row r="9" spans="1:10">
      <c r="A9" s="17">
        <v>8</v>
      </c>
      <c r="B9" s="18"/>
      <c r="C9" s="19"/>
      <c r="D9" s="19"/>
      <c r="E9" s="19"/>
      <c r="F9" s="19"/>
      <c r="G9" s="19"/>
      <c r="H9" s="19"/>
      <c r="I9" s="18"/>
      <c r="J9" s="20"/>
    </row>
    <row r="10" spans="1:10">
      <c r="A10" s="17">
        <v>9</v>
      </c>
      <c r="B10" s="18"/>
      <c r="C10" s="19"/>
      <c r="D10" s="19"/>
      <c r="E10" s="19"/>
      <c r="F10" s="19"/>
      <c r="G10" s="19"/>
      <c r="H10" s="19"/>
      <c r="I10" s="18"/>
      <c r="J10" s="20"/>
    </row>
    <row r="11" spans="1:10">
      <c r="A11" s="17"/>
      <c r="B11" s="18"/>
      <c r="C11" s="18"/>
      <c r="D11" s="18"/>
      <c r="E11" s="18"/>
      <c r="F11" s="18"/>
      <c r="G11" s="18"/>
      <c r="H11" s="18"/>
      <c r="I11" s="18"/>
      <c r="J11" s="18"/>
    </row>
    <row r="12" spans="1:10">
      <c r="A12" s="17"/>
      <c r="B12" s="17" t="s">
        <v>47</v>
      </c>
      <c r="C12" s="18"/>
      <c r="D12" s="18"/>
      <c r="E12" s="18"/>
      <c r="F12" s="18"/>
      <c r="G12" s="18"/>
      <c r="H12" s="18"/>
      <c r="I12" s="18"/>
      <c r="J12" s="18"/>
    </row>
    <row r="13" spans="1:10">
      <c r="A13" s="17"/>
      <c r="B13" s="22" t="s">
        <v>48</v>
      </c>
      <c r="C13" s="22" t="s">
        <v>49</v>
      </c>
      <c r="D13" s="22" t="s">
        <v>50</v>
      </c>
      <c r="E13" s="22" t="s">
        <v>51</v>
      </c>
      <c r="F13" s="22" t="s">
        <v>52</v>
      </c>
      <c r="G13" s="22" t="s">
        <v>53</v>
      </c>
      <c r="H13" s="22" t="s">
        <v>54</v>
      </c>
      <c r="I13" s="22" t="s">
        <v>55</v>
      </c>
      <c r="J13" s="22" t="s">
        <v>56</v>
      </c>
    </row>
    <row r="14" spans="1:10">
      <c r="A14" s="17"/>
      <c r="B14" s="18" t="s">
        <v>58</v>
      </c>
      <c r="C14" s="23">
        <f>J2</f>
        <v>60000</v>
      </c>
      <c r="D14" s="21" t="s">
        <v>57</v>
      </c>
      <c r="E14" s="23">
        <f>H14*15%</f>
        <v>16981.132075471694</v>
      </c>
      <c r="F14" s="23">
        <v>16500</v>
      </c>
      <c r="G14" s="23">
        <f>SUM(C14:F14)</f>
        <v>93481.132075471687</v>
      </c>
      <c r="H14" s="23">
        <f>C14/53%</f>
        <v>113207.54716981131</v>
      </c>
      <c r="I14" s="23">
        <f>H14-G14</f>
        <v>19726.415094339623</v>
      </c>
      <c r="J14" s="24">
        <f>I14/H14</f>
        <v>0.17425000000000002</v>
      </c>
    </row>
    <row r="15" spans="1:10">
      <c r="A15" s="17"/>
      <c r="B15" s="18"/>
      <c r="C15" s="23"/>
      <c r="D15" s="21"/>
      <c r="E15" s="23"/>
      <c r="F15" s="23"/>
      <c r="G15" s="23"/>
      <c r="H15" s="23"/>
      <c r="I15" s="23"/>
      <c r="J15" s="24"/>
    </row>
    <row r="16" spans="1:10">
      <c r="A16" s="17"/>
      <c r="B16" s="18"/>
      <c r="C16" s="23"/>
      <c r="D16" s="21"/>
      <c r="E16" s="23"/>
      <c r="F16" s="23"/>
      <c r="G16" s="23"/>
      <c r="H16" s="23"/>
      <c r="I16" s="23"/>
      <c r="J16" s="24"/>
    </row>
    <row r="17" spans="1:10">
      <c r="A17" s="17"/>
      <c r="B17" s="21"/>
      <c r="C17" s="23"/>
      <c r="D17" s="21"/>
      <c r="E17" s="23"/>
      <c r="F17" s="23"/>
      <c r="G17" s="23"/>
      <c r="H17" s="23"/>
      <c r="I17" s="23"/>
      <c r="J17" s="24"/>
    </row>
    <row r="18" spans="1:10">
      <c r="A18" s="17"/>
      <c r="B18" s="21"/>
      <c r="C18" s="23"/>
      <c r="D18" s="21"/>
      <c r="E18" s="23"/>
      <c r="F18" s="23"/>
      <c r="G18" s="23"/>
      <c r="H18" s="23"/>
      <c r="I18" s="23"/>
      <c r="J18" s="24"/>
    </row>
    <row r="19" spans="1:10">
      <c r="A19" s="17"/>
      <c r="B19" s="21"/>
      <c r="C19" s="23"/>
      <c r="D19" s="21"/>
      <c r="E19" s="23"/>
      <c r="F19" s="23"/>
      <c r="G19" s="23"/>
      <c r="H19" s="23"/>
      <c r="I19" s="23"/>
      <c r="J19" s="24"/>
    </row>
    <row r="20" spans="1:10">
      <c r="A20" s="17"/>
      <c r="B20" s="21"/>
      <c r="C20" s="23"/>
      <c r="D20" s="21"/>
      <c r="E20" s="23"/>
      <c r="F20" s="23"/>
      <c r="G20" s="23"/>
      <c r="H20" s="23"/>
      <c r="I20" s="23"/>
      <c r="J20" s="24"/>
    </row>
    <row r="21" spans="1:10">
      <c r="A21" s="17"/>
      <c r="B21" s="18"/>
      <c r="C21" s="23"/>
      <c r="D21" s="21"/>
      <c r="E21" s="23"/>
      <c r="F21" s="23"/>
      <c r="G21" s="23"/>
      <c r="H21" s="23"/>
      <c r="I21" s="23"/>
      <c r="J21" s="24"/>
    </row>
    <row r="22" spans="1:10">
      <c r="A22" s="17"/>
      <c r="B22" s="18"/>
      <c r="C22" s="23"/>
      <c r="D22" s="21"/>
      <c r="E22" s="23"/>
      <c r="F22" s="23"/>
      <c r="G22" s="23"/>
      <c r="H22" s="23"/>
      <c r="I22" s="23"/>
      <c r="J22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 1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Pablo Mejia</dc:creator>
  <cp:keywords/>
  <dc:description/>
  <cp:lastModifiedBy>Juan Pablo Mejia</cp:lastModifiedBy>
  <cp:revision/>
  <dcterms:created xsi:type="dcterms:W3CDTF">2023-07-17T16:13:45Z</dcterms:created>
  <dcterms:modified xsi:type="dcterms:W3CDTF">2025-08-09T18:49:49Z</dcterms:modified>
  <cp:category/>
  <cp:contentStatus/>
</cp:coreProperties>
</file>