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8"/>
  <workbookPr/>
  <mc:AlternateContent xmlns:mc="http://schemas.openxmlformats.org/markup-compatibility/2006">
    <mc:Choice Requires="x15">
      <x15ac:absPath xmlns:x15ac="http://schemas.microsoft.com/office/spreadsheetml/2010/11/ac" url="D:\NDC\HERRAMIENTAS\"/>
    </mc:Choice>
  </mc:AlternateContent>
  <xr:revisionPtr revIDLastSave="421" documentId="11_3A35081D11861D92EE63DA73D9E62F16217CA998" xr6:coauthVersionLast="47" xr6:coauthVersionMax="47" xr10:uidLastSave="{9A65D129-9748-4E35-88EA-E262F1A59B97}"/>
  <bookViews>
    <workbookView xWindow="0" yWindow="0" windowWidth="19200" windowHeight="6930" firstSheet="1" activeTab="1" xr2:uid="{00000000-000D-0000-FFFF-FFFF00000000}"/>
  </bookViews>
  <sheets>
    <sheet name="Valores prodcuto" sheetId="1" r:id="rId1"/>
    <sheet name="Costeo producto mayorista Dro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" i="2" l="1"/>
  <c r="P32" i="2" s="1"/>
  <c r="R32" i="2" s="1"/>
  <c r="P33" i="2" s="1"/>
  <c r="R33" i="2" s="1"/>
  <c r="P13" i="2"/>
  <c r="P20" i="2" s="1"/>
  <c r="I51" i="2" l="1"/>
  <c r="I50" i="2"/>
  <c r="Y47" i="2"/>
  <c r="D47" i="2"/>
  <c r="D48" i="2" s="1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M31" i="2"/>
  <c r="D31" i="2"/>
  <c r="X43" i="2" s="1"/>
  <c r="Y30" i="2"/>
  <c r="Y29" i="2"/>
  <c r="Y28" i="2"/>
  <c r="Y27" i="2"/>
  <c r="M34" i="2" s="1"/>
  <c r="Y26" i="2"/>
  <c r="Y25" i="2"/>
  <c r="Y24" i="2"/>
  <c r="L24" i="2"/>
  <c r="Y23" i="2"/>
  <c r="Y22" i="2"/>
  <c r="Y21" i="2"/>
  <c r="Y20" i="2"/>
  <c r="Y19" i="2"/>
  <c r="Y18" i="2"/>
  <c r="I16" i="2"/>
  <c r="I19" i="2" s="1"/>
  <c r="H13" i="1"/>
  <c r="H11" i="1"/>
  <c r="G11" i="1"/>
  <c r="H10" i="1"/>
  <c r="H8" i="1"/>
  <c r="H9" i="1" s="1"/>
  <c r="E8" i="1"/>
  <c r="D8" i="1"/>
  <c r="E7" i="1"/>
  <c r="D7" i="1"/>
  <c r="D6" i="1"/>
  <c r="E5" i="1"/>
  <c r="E6" i="1" s="1"/>
  <c r="D5" i="1"/>
  <c r="E4" i="1"/>
  <c r="D4" i="1"/>
  <c r="X39" i="2" l="1"/>
  <c r="X28" i="2"/>
  <c r="X33" i="2"/>
  <c r="X24" i="2"/>
  <c r="X25" i="2"/>
  <c r="X19" i="2"/>
  <c r="X22" i="2"/>
  <c r="X26" i="2"/>
  <c r="X31" i="2"/>
  <c r="X44" i="2"/>
  <c r="X30" i="2"/>
  <c r="X40" i="2"/>
  <c r="X35" i="2"/>
  <c r="X18" i="2"/>
  <c r="X23" i="2"/>
  <c r="H12" i="1"/>
  <c r="X36" i="2"/>
  <c r="X41" i="2"/>
  <c r="X21" i="2"/>
  <c r="X29" i="2"/>
  <c r="D32" i="2"/>
  <c r="X46" i="2"/>
  <c r="X38" i="2"/>
  <c r="X47" i="2"/>
  <c r="X27" i="2"/>
  <c r="M33" i="2" s="1"/>
  <c r="X20" i="2"/>
  <c r="I20" i="2"/>
  <c r="I22" i="2"/>
  <c r="X45" i="2"/>
  <c r="X32" i="2"/>
  <c r="X34" i="2"/>
  <c r="X42" i="2"/>
  <c r="I17" i="2"/>
  <c r="X37" i="2"/>
  <c r="E9" i="1"/>
  <c r="I25" i="2" l="1"/>
  <c r="I23" i="2"/>
  <c r="H7" i="1"/>
  <c r="H14" i="1" s="1"/>
  <c r="H17" i="1" s="1"/>
  <c r="H18" i="1" s="1"/>
  <c r="B18" i="1"/>
  <c r="I28" i="2" l="1"/>
  <c r="I35" i="2"/>
  <c r="I26" i="2"/>
  <c r="E14" i="1"/>
  <c r="E10" i="1"/>
  <c r="E12" i="1"/>
  <c r="E13" i="1" s="1"/>
  <c r="C12" i="1"/>
  <c r="M24" i="2" l="1"/>
  <c r="I31" i="2"/>
  <c r="M23" i="2" s="1"/>
  <c r="E11" i="1"/>
  <c r="E15" i="1" s="1"/>
  <c r="E17" i="1" s="1"/>
  <c r="E18" i="1" s="1"/>
  <c r="I32" i="2" l="1"/>
  <c r="M22" i="2" l="1"/>
  <c r="I33" i="2"/>
  <c r="E37" i="2"/>
  <c r="E40" i="2" s="1"/>
  <c r="D37" i="2"/>
  <c r="M14" i="2" s="1"/>
  <c r="I34" i="2"/>
  <c r="I39" i="2"/>
  <c r="M20" i="2"/>
  <c r="M15" i="2" l="1"/>
  <c r="I36" i="2"/>
  <c r="D40" i="2"/>
  <c r="D41" i="2" a="1"/>
  <c r="D41" i="2" s="1"/>
  <c r="D42" i="2" a="1"/>
  <c r="D42" i="2" s="1"/>
  <c r="M21" i="2" s="1"/>
  <c r="M25" i="2" s="1"/>
  <c r="E46" i="2"/>
  <c r="M16" i="2" l="1"/>
  <c r="M17" i="2" s="1"/>
  <c r="D43" i="2"/>
  <c r="E47" i="2" l="1"/>
  <c r="M18" i="2"/>
  <c r="M19" i="2"/>
  <c r="M28" i="2"/>
  <c r="M26" i="2" l="1"/>
  <c r="M27" i="2" l="1"/>
  <c r="M29" i="2" s="1"/>
  <c r="M30" i="2" s="1"/>
  <c r="M32" i="2" s="1"/>
  <c r="M46" i="2" l="1"/>
  <c r="M38" i="2" l="1"/>
  <c r="M35" i="2"/>
  <c r="M47" i="2"/>
  <c r="I41" i="2"/>
  <c r="P15" i="2" l="1"/>
  <c r="P16" i="2" s="1"/>
  <c r="M39" i="2"/>
  <c r="M40" i="2"/>
  <c r="M48" i="2"/>
  <c r="M50" i="2" s="1"/>
  <c r="M49" i="2"/>
  <c r="Q20" i="2" l="1"/>
  <c r="R20" i="2" s="1"/>
  <c r="P21" i="2" s="1"/>
  <c r="Q25" i="2"/>
  <c r="Q21" i="2"/>
  <c r="Q22" i="2"/>
  <c r="Q23" i="2"/>
  <c r="Q24" i="2"/>
  <c r="Q26" i="2"/>
  <c r="Q27" i="2"/>
  <c r="R21" i="2" l="1"/>
  <c r="P22" i="2" s="1"/>
  <c r="R22" i="2" s="1"/>
  <c r="P23" i="2" s="1"/>
  <c r="R23" i="2" s="1"/>
  <c r="P24" i="2" s="1"/>
  <c r="R24" i="2" s="1"/>
  <c r="P25" i="2" s="1"/>
  <c r="R25" i="2" s="1"/>
  <c r="P26" i="2" s="1"/>
  <c r="R26" i="2" s="1"/>
  <c r="P27" i="2" s="1"/>
  <c r="R27" i="2" s="1"/>
</calcChain>
</file>

<file path=xl/sharedStrings.xml><?xml version="1.0" encoding="utf-8"?>
<sst xmlns="http://schemas.openxmlformats.org/spreadsheetml/2006/main" count="188" uniqueCount="152">
  <si>
    <t>Datos de Operación</t>
  </si>
  <si>
    <t xml:space="preserve">Costeo de producto </t>
  </si>
  <si>
    <t>Estableciendo Precio de Venta Manual</t>
  </si>
  <si>
    <t>Costo de la Mercancia Vendida</t>
  </si>
  <si>
    <t>Flete de Envío</t>
  </si>
  <si>
    <t>Seguro de Devoluciones</t>
  </si>
  <si>
    <t>Precio de Venta Manual</t>
  </si>
  <si>
    <t>Costo por Compra Estimado</t>
  </si>
  <si>
    <t>Costo de Intermediación</t>
  </si>
  <si>
    <t>Costo del Fullfillment</t>
  </si>
  <si>
    <t>Comisión de la Plataforma</t>
  </si>
  <si>
    <t>Comisión de Plataforma Logística</t>
  </si>
  <si>
    <t>IVA de Uso de Plataforma</t>
  </si>
  <si>
    <t>IVA</t>
  </si>
  <si>
    <t>% de compras por Pasarelas</t>
  </si>
  <si>
    <t>% de Compras en Pasarelas</t>
  </si>
  <si>
    <t>Tasa Comisión de Pasarela de Pago</t>
  </si>
  <si>
    <t>Comisión de Pasarela de Pago</t>
  </si>
  <si>
    <t>4x1000</t>
  </si>
  <si>
    <t>Costos Financieros (4x1000)</t>
  </si>
  <si>
    <t>TOTAL COSTOS</t>
  </si>
  <si>
    <t>Margen de Ganancia Esperado</t>
  </si>
  <si>
    <t>Utilidad Real ( Ingreso Real) x Unidad</t>
  </si>
  <si>
    <t xml:space="preserve">Precio de Venta Minimo Estimado </t>
  </si>
  <si>
    <t>% de Ingreso Real por unidad</t>
  </si>
  <si>
    <t>Esquema de Establecimiento de Precio para Producto</t>
  </si>
  <si>
    <t>Variables que Afectan el CPA - Valores de Referencia</t>
  </si>
  <si>
    <t>Categoría del Ticket</t>
  </si>
  <si>
    <t>Low Ticket</t>
  </si>
  <si>
    <t>Medium Ticket</t>
  </si>
  <si>
    <t>High Ticket</t>
  </si>
  <si>
    <t>Hiper Ticket</t>
  </si>
  <si>
    <t>Métricas Claves</t>
  </si>
  <si>
    <t>Promedios de Escenarios Reales: Colombia</t>
  </si>
  <si>
    <t>Costo del Producto</t>
  </si>
  <si>
    <t>$5.000 -  $15.000</t>
  </si>
  <si>
    <t>$15.000 - $25.000</t>
  </si>
  <si>
    <t>$25.000 -  $50.000</t>
  </si>
  <si>
    <t>$50.000 - $100.000</t>
  </si>
  <si>
    <t>CPM</t>
  </si>
  <si>
    <t>Precio Mínimo Sugerido</t>
  </si>
  <si>
    <t>$49.900 -$79.000</t>
  </si>
  <si>
    <t>$79.000 - $ 99.900</t>
  </si>
  <si>
    <t>$99.900 -$199.900</t>
  </si>
  <si>
    <t>$199.900 -$499.000</t>
  </si>
  <si>
    <t>CTR</t>
  </si>
  <si>
    <t>Convertion Rate Estables</t>
  </si>
  <si>
    <t>Velocidad de Carga</t>
  </si>
  <si>
    <t>Porcentaje de Despacho</t>
  </si>
  <si>
    <t>% de Devoluciones</t>
  </si>
  <si>
    <t>Días de Análisis</t>
  </si>
  <si>
    <t>Inventario inicial</t>
  </si>
  <si>
    <t>Análisis de Métricas</t>
  </si>
  <si>
    <t>P&amp;G</t>
  </si>
  <si>
    <t>Inversion 1</t>
  </si>
  <si>
    <t>Precio de Venta</t>
  </si>
  <si>
    <t>Inversión en Facebook</t>
  </si>
  <si>
    <t>Ventas en Tienda Web ( Shopify)</t>
  </si>
  <si>
    <t>Costo del Producto Vendido</t>
  </si>
  <si>
    <t xml:space="preserve">CPM </t>
  </si>
  <si>
    <t>Facturado Real por Producto Principal</t>
  </si>
  <si>
    <r>
      <t xml:space="preserve">Utilidad + CMV </t>
    </r>
    <r>
      <rPr>
        <b/>
        <sz val="8"/>
        <color theme="1"/>
        <rFont val="Calibri"/>
        <family val="2"/>
        <scheme val="minor"/>
      </rPr>
      <t>(Disponible efectivo)</t>
    </r>
  </si>
  <si>
    <t>Si</t>
  </si>
  <si>
    <t>Impresiones</t>
  </si>
  <si>
    <t>Facturado Real por Oferta</t>
  </si>
  <si>
    <t>Dinponible iversion</t>
  </si>
  <si>
    <t>No</t>
  </si>
  <si>
    <t>Costo de FullFillment</t>
  </si>
  <si>
    <t>Costo por Impresión</t>
  </si>
  <si>
    <t>Ingresos Totales</t>
  </si>
  <si>
    <t>Gastos Fijos</t>
  </si>
  <si>
    <t>Gastos Financieros</t>
  </si>
  <si>
    <t xml:space="preserve">IVA  </t>
  </si>
  <si>
    <t>Clics en en Enlace</t>
  </si>
  <si>
    <t>Ingresos Reales</t>
  </si>
  <si>
    <t>Inversion Inicial</t>
  </si>
  <si>
    <t>Ventas</t>
  </si>
  <si>
    <t>Disponible efectivo</t>
  </si>
  <si>
    <t>Costo por Clic</t>
  </si>
  <si>
    <t>Costos del Producto - Principal</t>
  </si>
  <si>
    <t>Costos de Producto  - Oferta</t>
  </si>
  <si>
    <t>Inversion 2</t>
  </si>
  <si>
    <t>Visualización del Contenido</t>
  </si>
  <si>
    <t>Costos de Envío</t>
  </si>
  <si>
    <t>Inversion 3</t>
  </si>
  <si>
    <t>Gastos de Financiación Mensuales</t>
  </si>
  <si>
    <t>Costo por Visualización</t>
  </si>
  <si>
    <t>Costos de Devoluciones</t>
  </si>
  <si>
    <t>Inversion 4</t>
  </si>
  <si>
    <t xml:space="preserve">Convertion Rate </t>
  </si>
  <si>
    <t>Inversion 5</t>
  </si>
  <si>
    <t>Gastos Administrativos (Fijos)</t>
  </si>
  <si>
    <t>Costos de Intermediación</t>
  </si>
  <si>
    <t>Inversion 6</t>
  </si>
  <si>
    <t>Aplicaciones</t>
  </si>
  <si>
    <t>CPA Facebook</t>
  </si>
  <si>
    <t>Inversion 7</t>
  </si>
  <si>
    <t>Servicios</t>
  </si>
  <si>
    <t>% de Despacho</t>
  </si>
  <si>
    <t>Inversion 8</t>
  </si>
  <si>
    <t>Nomina</t>
  </si>
  <si>
    <t>Pedidos Despachados</t>
  </si>
  <si>
    <t>Gastos 4</t>
  </si>
  <si>
    <t>Costo por Pedidos Despachado</t>
  </si>
  <si>
    <t>Gastos 5</t>
  </si>
  <si>
    <t xml:space="preserve">Total Costos </t>
  </si>
  <si>
    <t>Total Gastos Admin/ Mes</t>
  </si>
  <si>
    <t>Devoluciones</t>
  </si>
  <si>
    <t>Inversión en Publicidad</t>
  </si>
  <si>
    <t>Total Gastos Admin/ Dia</t>
  </si>
  <si>
    <t>Entregas Efectivas</t>
  </si>
  <si>
    <t>Profit Bruto</t>
  </si>
  <si>
    <t>Gastos Fijos / Administrativos</t>
  </si>
  <si>
    <t>Análisis de Oferta</t>
  </si>
  <si>
    <t>CPA Real</t>
  </si>
  <si>
    <t>Big Offers</t>
  </si>
  <si>
    <t>2 Und</t>
  </si>
  <si>
    <t>3 unds</t>
  </si>
  <si>
    <t>ROAS Facebook</t>
  </si>
  <si>
    <t>Profit Neto</t>
  </si>
  <si>
    <t>% de Compra</t>
  </si>
  <si>
    <t>ROAS Real</t>
  </si>
  <si>
    <t>Unidades Vendidas</t>
  </si>
  <si>
    <t>Margen Bruto</t>
  </si>
  <si>
    <t>Costo</t>
  </si>
  <si>
    <t>Clics para una Venta</t>
  </si>
  <si>
    <t>Margen Neto</t>
  </si>
  <si>
    <t>Ganancia</t>
  </si>
  <si>
    <t>Ventas Deseadas</t>
  </si>
  <si>
    <t>ROI Ads</t>
  </si>
  <si>
    <t>Ventas Totales - Oferta</t>
  </si>
  <si>
    <t>Inversión Mínima Requerida para Ventas Deseadas</t>
  </si>
  <si>
    <t>Costos Totales  - Oferta</t>
  </si>
  <si>
    <t>Ganancia de la Oferta</t>
  </si>
  <si>
    <t>Análisis de Precio de Venta</t>
  </si>
  <si>
    <t xml:space="preserve">Matriz de Cálculos de Tasas </t>
  </si>
  <si>
    <t>Punto de Equilibrio Operacional</t>
  </si>
  <si>
    <t>Average Order Value ( AOV)</t>
  </si>
  <si>
    <t>Ventas Totales</t>
  </si>
  <si>
    <t>Clics en el Enlace</t>
  </si>
  <si>
    <t>Margen de Contribución</t>
  </si>
  <si>
    <t>Base del IVA</t>
  </si>
  <si>
    <t>Ventas Efectivas</t>
  </si>
  <si>
    <t>Visitantes ( Shopify)</t>
  </si>
  <si>
    <t>Punto de Equilibrio (Unds)</t>
  </si>
  <si>
    <t>IVA de la Venta</t>
  </si>
  <si>
    <t>Compras</t>
  </si>
  <si>
    <t>Punto de Equilibrio ($)</t>
  </si>
  <si>
    <t>Vende con IVA</t>
  </si>
  <si>
    <t xml:space="preserve">CPA Máximo </t>
  </si>
  <si>
    <t>ROAS Facebook Mínimo</t>
  </si>
  <si>
    <t>Convertion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</si>
</sst>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&quot;$&quot;#,##0"/>
    <numFmt numFmtId="166" formatCode="&quot;$&quot;#,##0.00"/>
    <numFmt numFmtId="167" formatCode="0.0%"/>
    <numFmt numFmtId="168" formatCode="_-[$$-240A]\ * #,##0_-;\-[$$-240A]\ * #,##0_-;_-[$$-240A]\ * &quot;-&quot;??_-;_-@_-"/>
    <numFmt numFmtId="169" formatCode="0.000%"/>
    <numFmt numFmtId="170" formatCode="_-[$$-240A]\ * #,##0.00_-;\-[$$-240A]\ * #,##0.00_-;_-[$$-240A]\ * &quot;-&quot;??_-;_-@_-"/>
    <numFmt numFmtId="171" formatCode="&quot;$&quot;#,##0.0"/>
    <numFmt numFmtId="172" formatCode="0.0000%"/>
    <numFmt numFmtId="173" formatCode="_-* #,##0.00\ &quot;€&quot;_-;\-* #,##0.00\ &quot;€&quot;_-;_-* &quot;-&quot;??\ &quot;€&quot;_-;_-@"/>
    <numFmt numFmtId="174" formatCode="0.0"/>
    <numFmt numFmtId="175" formatCode="&quot;$&quot;\ #,##0.0"/>
    <numFmt numFmtId="176" formatCode="_-&quot;$&quot;\ * #,##0_-;\-&quot;$&quot;\ * #,##0_-;_-&quot;$&quot;\ * &quot;-&quot;??_-;_-@_-"/>
    <numFmt numFmtId="177" formatCode="_-* #,##0_-;\-* #,##0_-;_-* &quot;-&quot;??_-;_-@_-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name val="Arial"/>
      <family val="2"/>
    </font>
    <font>
      <b/>
      <sz val="12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</font>
    <font>
      <b/>
      <i/>
      <sz val="11"/>
      <color theme="9" tint="-0.499984740745262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14042B"/>
      <name val="Calibri"/>
      <family val="2"/>
      <scheme val="minor"/>
    </font>
    <font>
      <b/>
      <sz val="12"/>
      <color theme="1"/>
      <name val="Arial"/>
      <family val="2"/>
    </font>
    <font>
      <sz val="14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4042B"/>
        <bgColor rgb="FF14042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C5EBDA"/>
        <bgColor indexed="64"/>
      </patternFill>
    </fill>
    <fill>
      <patternFill patternType="solid">
        <fgColor theme="0"/>
        <bgColor rgb="FFE3EDDF"/>
      </patternFill>
    </fill>
    <fill>
      <patternFill patternType="solid">
        <fgColor rgb="FFC0429F"/>
        <bgColor rgb="FF03FFB1"/>
      </patternFill>
    </fill>
    <fill>
      <patternFill patternType="solid">
        <fgColor rgb="FFC0429F"/>
        <bgColor rgb="FFE3EDDF"/>
      </patternFill>
    </fill>
    <fill>
      <patternFill patternType="solid">
        <fgColor theme="4" tint="0.79998168889431442"/>
        <bgColor rgb="FF03FFB1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000000"/>
      </left>
      <right/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158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1" xfId="0" applyBorder="1"/>
    <xf numFmtId="166" fontId="9" fillId="0" borderId="0" xfId="0" applyNumberFormat="1" applyFont="1" applyAlignment="1">
      <alignment horizontal="center" vertical="top"/>
    </xf>
    <xf numFmtId="0" fontId="1" fillId="0" borderId="3" xfId="0" applyFont="1" applyBorder="1"/>
    <xf numFmtId="0" fontId="2" fillId="0" borderId="14" xfId="0" applyFont="1" applyBorder="1"/>
    <xf numFmtId="166" fontId="0" fillId="0" borderId="4" xfId="0" applyNumberFormat="1" applyBorder="1"/>
    <xf numFmtId="0" fontId="2" fillId="0" borderId="16" xfId="0" applyFont="1" applyBorder="1"/>
    <xf numFmtId="10" fontId="0" fillId="0" borderId="4" xfId="2" applyNumberFormat="1" applyFont="1" applyBorder="1"/>
    <xf numFmtId="166" fontId="11" fillId="0" borderId="0" xfId="0" applyNumberFormat="1" applyFont="1" applyAlignment="1">
      <alignment horizontal="center" vertical="top"/>
    </xf>
    <xf numFmtId="0" fontId="1" fillId="0" borderId="14" xfId="0" applyFont="1" applyBorder="1"/>
    <xf numFmtId="170" fontId="0" fillId="0" borderId="4" xfId="0" applyNumberFormat="1" applyBorder="1"/>
    <xf numFmtId="0" fontId="1" fillId="0" borderId="17" xfId="0" applyFont="1" applyBorder="1"/>
    <xf numFmtId="166" fontId="8" fillId="0" borderId="17" xfId="0" applyNumberFormat="1" applyFont="1" applyBorder="1"/>
    <xf numFmtId="0" fontId="10" fillId="0" borderId="18" xfId="0" applyFont="1" applyBorder="1"/>
    <xf numFmtId="0" fontId="10" fillId="0" borderId="16" xfId="0" applyFont="1" applyBorder="1"/>
    <xf numFmtId="10" fontId="12" fillId="0" borderId="20" xfId="2" applyNumberFormat="1" applyFont="1" applyBorder="1" applyAlignment="1">
      <alignment horizontal="center" vertical="center"/>
    </xf>
    <xf numFmtId="0" fontId="15" fillId="3" borderId="12" xfId="0" applyFont="1" applyFill="1" applyBorder="1" applyAlignment="1" applyProtection="1">
      <alignment horizontal="center"/>
      <protection hidden="1"/>
    </xf>
    <xf numFmtId="168" fontId="1" fillId="4" borderId="12" xfId="1" applyNumberFormat="1" applyFont="1" applyFill="1" applyBorder="1" applyAlignment="1" applyProtection="1">
      <alignment horizontal="center" vertical="center"/>
      <protection hidden="1"/>
    </xf>
    <xf numFmtId="9" fontId="15" fillId="4" borderId="12" xfId="1" applyNumberFormat="1" applyFont="1" applyFill="1" applyBorder="1" applyAlignment="1" applyProtection="1">
      <alignment horizontal="center"/>
      <protection hidden="1"/>
    </xf>
    <xf numFmtId="9" fontId="1" fillId="5" borderId="12" xfId="2" applyFont="1" applyFill="1" applyBorder="1" applyAlignment="1" applyProtection="1">
      <alignment horizontal="center" vertical="center"/>
      <protection hidden="1"/>
    </xf>
    <xf numFmtId="0" fontId="16" fillId="0" borderId="12" xfId="0" applyFont="1" applyBorder="1" applyAlignment="1" applyProtection="1">
      <alignment horizontal="center" vertical="center"/>
      <protection hidden="1"/>
    </xf>
    <xf numFmtId="1" fontId="10" fillId="0" borderId="12" xfId="0" applyNumberFormat="1" applyFont="1" applyBorder="1" applyAlignment="1" applyProtection="1">
      <alignment horizontal="center"/>
      <protection hidden="1"/>
    </xf>
    <xf numFmtId="2" fontId="0" fillId="0" borderId="0" xfId="2" applyNumberFormat="1" applyFont="1" applyBorder="1"/>
    <xf numFmtId="2" fontId="2" fillId="0" borderId="12" xfId="0" applyNumberFormat="1" applyFont="1" applyBorder="1" applyAlignment="1" applyProtection="1">
      <alignment horizontal="center" vertical="center"/>
      <protection hidden="1"/>
    </xf>
    <xf numFmtId="0" fontId="26" fillId="0" borderId="12" xfId="0" applyFont="1" applyBorder="1" applyAlignment="1" applyProtection="1">
      <alignment vertical="center"/>
      <protection hidden="1"/>
    </xf>
    <xf numFmtId="165" fontId="2" fillId="7" borderId="12" xfId="0" applyNumberFormat="1" applyFont="1" applyFill="1" applyBorder="1" applyAlignment="1" applyProtection="1">
      <alignment horizontal="center"/>
      <protection locked="0" hidden="1"/>
    </xf>
    <xf numFmtId="165" fontId="1" fillId="7" borderId="12" xfId="0" applyNumberFormat="1" applyFont="1" applyFill="1" applyBorder="1" applyAlignment="1" applyProtection="1">
      <alignment horizontal="center"/>
      <protection hidden="1"/>
    </xf>
    <xf numFmtId="172" fontId="0" fillId="0" borderId="0" xfId="2" applyNumberFormat="1" applyFont="1" applyBorder="1"/>
    <xf numFmtId="10" fontId="0" fillId="0" borderId="12" xfId="2" applyNumberFormat="1" applyFont="1" applyBorder="1" applyProtection="1">
      <protection hidden="1"/>
    </xf>
    <xf numFmtId="10" fontId="1" fillId="0" borderId="12" xfId="2" applyNumberFormat="1" applyFont="1" applyFill="1" applyBorder="1" applyAlignment="1" applyProtection="1">
      <alignment horizontal="right"/>
      <protection locked="0" hidden="1"/>
    </xf>
    <xf numFmtId="167" fontId="1" fillId="0" borderId="6" xfId="2" applyNumberFormat="1" applyFont="1" applyFill="1" applyBorder="1" applyAlignment="1" applyProtection="1">
      <alignment horizontal="right"/>
      <protection locked="0" hidden="1"/>
    </xf>
    <xf numFmtId="169" fontId="1" fillId="0" borderId="12" xfId="2" applyNumberFormat="1" applyFont="1" applyFill="1" applyBorder="1" applyAlignment="1" applyProtection="1">
      <alignment horizontal="right"/>
      <protection locked="0" hidden="1"/>
    </xf>
    <xf numFmtId="165" fontId="1" fillId="0" borderId="12" xfId="0" applyNumberFormat="1" applyFont="1" applyFill="1" applyBorder="1" applyAlignment="1" applyProtection="1">
      <alignment horizontal="right"/>
      <protection locked="0" hidden="1"/>
    </xf>
    <xf numFmtId="172" fontId="1" fillId="0" borderId="12" xfId="0" applyNumberFormat="1" applyFont="1" applyFill="1" applyBorder="1" applyAlignment="1" applyProtection="1">
      <alignment horizontal="right"/>
      <protection locked="0" hidden="1"/>
    </xf>
    <xf numFmtId="3" fontId="1" fillId="0" borderId="12" xfId="0" applyNumberFormat="1" applyFont="1" applyFill="1" applyBorder="1" applyAlignment="1" applyProtection="1">
      <alignment horizontal="center" vertical="center"/>
      <protection hidden="1"/>
    </xf>
    <xf numFmtId="0" fontId="17" fillId="0" borderId="12" xfId="0" applyFont="1" applyFill="1" applyBorder="1" applyAlignment="1" applyProtection="1">
      <alignment horizontal="center"/>
      <protection locked="0" hidden="1"/>
    </xf>
    <xf numFmtId="1" fontId="10" fillId="0" borderId="12" xfId="0" applyNumberFormat="1" applyFont="1" applyFill="1" applyBorder="1" applyAlignment="1" applyProtection="1">
      <alignment horizontal="center"/>
      <protection hidden="1"/>
    </xf>
    <xf numFmtId="10" fontId="1" fillId="0" borderId="12" xfId="0" applyNumberFormat="1" applyFont="1" applyFill="1" applyBorder="1" applyAlignment="1" applyProtection="1">
      <alignment horizontal="right"/>
      <protection locked="0" hidden="1"/>
    </xf>
    <xf numFmtId="0" fontId="10" fillId="0" borderId="12" xfId="0" applyFont="1" applyFill="1" applyBorder="1" applyAlignment="1" applyProtection="1">
      <alignment horizontal="center"/>
      <protection hidden="1"/>
    </xf>
    <xf numFmtId="9" fontId="1" fillId="0" borderId="12" xfId="0" applyNumberFormat="1" applyFont="1" applyFill="1" applyBorder="1" applyAlignment="1" applyProtection="1">
      <alignment horizontal="right"/>
      <protection locked="0" hidden="1"/>
    </xf>
    <xf numFmtId="1" fontId="14" fillId="0" borderId="12" xfId="0" applyNumberFormat="1" applyFont="1" applyFill="1" applyBorder="1" applyAlignment="1" applyProtection="1">
      <alignment horizontal="center" vertical="center"/>
      <protection hidden="1"/>
    </xf>
    <xf numFmtId="0" fontId="7" fillId="8" borderId="12" xfId="0" applyFont="1" applyFill="1" applyBorder="1" applyAlignment="1" applyProtection="1">
      <alignment horizontal="left" vertical="center"/>
      <protection hidden="1"/>
    </xf>
    <xf numFmtId="0" fontId="7" fillId="10" borderId="12" xfId="0" applyFont="1" applyFill="1" applyBorder="1" applyAlignment="1">
      <alignment horizontal="left" vertical="center"/>
    </xf>
    <xf numFmtId="0" fontId="7" fillId="10" borderId="9" xfId="0" applyFont="1" applyFill="1" applyBorder="1" applyAlignment="1">
      <alignment horizontal="left" vertical="center"/>
    </xf>
    <xf numFmtId="0" fontId="7" fillId="10" borderId="13" xfId="0" applyFont="1" applyFill="1" applyBorder="1" applyAlignment="1">
      <alignment horizontal="left" vertical="center"/>
    </xf>
    <xf numFmtId="0" fontId="14" fillId="10" borderId="12" xfId="0" applyFont="1" applyFill="1" applyBorder="1" applyAlignment="1">
      <alignment horizontal="left" vertical="center"/>
    </xf>
    <xf numFmtId="0" fontId="7" fillId="10" borderId="20" xfId="0" applyFont="1" applyFill="1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/>
    </xf>
    <xf numFmtId="0" fontId="3" fillId="0" borderId="0" xfId="0" applyFont="1" applyBorder="1" applyProtection="1">
      <protection hidden="1"/>
    </xf>
    <xf numFmtId="9" fontId="3" fillId="0" borderId="0" xfId="2" applyFont="1" applyBorder="1" applyProtection="1">
      <protection hidden="1"/>
    </xf>
    <xf numFmtId="165" fontId="0" fillId="0" borderId="0" xfId="0" applyNumberFormat="1" applyBorder="1" applyProtection="1">
      <protection locked="0" hidden="1"/>
    </xf>
    <xf numFmtId="0" fontId="4" fillId="0" borderId="0" xfId="0" applyFont="1" applyBorder="1"/>
    <xf numFmtId="0" fontId="3" fillId="0" borderId="0" xfId="0" applyFont="1" applyBorder="1" applyAlignment="1" applyProtection="1">
      <alignment horizontal="center"/>
      <protection hidden="1"/>
    </xf>
    <xf numFmtId="168" fontId="3" fillId="0" borderId="0" xfId="0" applyNumberFormat="1" applyFont="1" applyBorder="1" applyProtection="1">
      <protection hidden="1"/>
    </xf>
    <xf numFmtId="165" fontId="3" fillId="0" borderId="0" xfId="0" applyNumberFormat="1" applyFont="1" applyBorder="1" applyProtection="1">
      <protection hidden="1"/>
    </xf>
    <xf numFmtId="168" fontId="0" fillId="0" borderId="0" xfId="0" applyNumberFormat="1" applyBorder="1"/>
    <xf numFmtId="165" fontId="0" fillId="0" borderId="0" xfId="0" applyNumberFormat="1" applyBorder="1"/>
    <xf numFmtId="173" fontId="21" fillId="0" borderId="0" xfId="0" applyNumberFormat="1" applyFont="1" applyBorder="1"/>
    <xf numFmtId="9" fontId="21" fillId="0" borderId="0" xfId="0" applyNumberFormat="1" applyFont="1" applyBorder="1"/>
    <xf numFmtId="165" fontId="21" fillId="0" borderId="0" xfId="0" applyNumberFormat="1" applyFont="1" applyBorder="1"/>
    <xf numFmtId="168" fontId="21" fillId="0" borderId="0" xfId="0" applyNumberFormat="1" applyFont="1" applyBorder="1"/>
    <xf numFmtId="1" fontId="0" fillId="0" borderId="0" xfId="0" applyNumberFormat="1" applyBorder="1"/>
    <xf numFmtId="174" fontId="0" fillId="0" borderId="0" xfId="0" applyNumberFormat="1" applyBorder="1"/>
    <xf numFmtId="0" fontId="0" fillId="0" borderId="0" xfId="0" applyBorder="1" applyAlignment="1" applyProtection="1">
      <alignment vertical="center"/>
      <protection hidden="1"/>
    </xf>
    <xf numFmtId="0" fontId="8" fillId="0" borderId="0" xfId="0" applyFont="1" applyBorder="1" applyProtection="1">
      <protection hidden="1"/>
    </xf>
    <xf numFmtId="165" fontId="8" fillId="0" borderId="0" xfId="0" applyNumberFormat="1" applyFont="1" applyBorder="1" applyProtection="1">
      <protection hidden="1"/>
    </xf>
    <xf numFmtId="168" fontId="18" fillId="0" borderId="0" xfId="2" applyNumberFormat="1" applyFont="1" applyBorder="1" applyProtection="1">
      <protection hidden="1"/>
    </xf>
    <xf numFmtId="168" fontId="18" fillId="0" borderId="0" xfId="0" applyNumberFormat="1" applyFont="1" applyBorder="1" applyProtection="1">
      <protection hidden="1"/>
    </xf>
    <xf numFmtId="0" fontId="8" fillId="0" borderId="0" xfId="0" applyFont="1" applyBorder="1"/>
    <xf numFmtId="0" fontId="10" fillId="0" borderId="0" xfId="0" applyFont="1" applyBorder="1" applyAlignment="1">
      <alignment horizontal="center" vertical="center"/>
    </xf>
    <xf numFmtId="166" fontId="8" fillId="0" borderId="0" xfId="0" applyNumberFormat="1" applyFont="1" applyBorder="1"/>
    <xf numFmtId="0" fontId="2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8" fillId="3" borderId="0" xfId="0" applyFont="1" applyFill="1" applyBorder="1"/>
    <xf numFmtId="0" fontId="10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9" fontId="8" fillId="0" borderId="0" xfId="0" applyNumberFormat="1" applyFont="1" applyBorder="1"/>
    <xf numFmtId="166" fontId="10" fillId="3" borderId="0" xfId="0" applyNumberFormat="1" applyFont="1" applyFill="1" applyBorder="1" applyAlignment="1">
      <alignment horizontal="center" vertical="center"/>
    </xf>
    <xf numFmtId="1" fontId="10" fillId="3" borderId="0" xfId="0" applyNumberFormat="1" applyFont="1" applyFill="1" applyBorder="1" applyAlignment="1">
      <alignment horizontal="center" vertical="center"/>
    </xf>
    <xf numFmtId="0" fontId="0" fillId="0" borderId="12" xfId="0" applyFill="1" applyBorder="1"/>
    <xf numFmtId="0" fontId="8" fillId="0" borderId="12" xfId="0" applyFont="1" applyFill="1" applyBorder="1" applyAlignment="1">
      <alignment horizontal="center"/>
    </xf>
    <xf numFmtId="3" fontId="10" fillId="0" borderId="12" xfId="0" applyNumberFormat="1" applyFont="1" applyFill="1" applyBorder="1" applyAlignment="1" applyProtection="1">
      <alignment horizontal="center"/>
      <protection hidden="1"/>
    </xf>
    <xf numFmtId="0" fontId="0" fillId="0" borderId="12" xfId="0" applyFill="1" applyBorder="1" applyProtection="1">
      <protection hidden="1"/>
    </xf>
    <xf numFmtId="165" fontId="10" fillId="0" borderId="12" xfId="0" applyNumberFormat="1" applyFont="1" applyFill="1" applyBorder="1" applyAlignment="1" applyProtection="1">
      <alignment horizontal="center"/>
      <protection hidden="1"/>
    </xf>
    <xf numFmtId="0" fontId="0" fillId="0" borderId="12" xfId="0" applyBorder="1"/>
    <xf numFmtId="0" fontId="7" fillId="10" borderId="12" xfId="0" applyFont="1" applyFill="1" applyBorder="1" applyAlignment="1" applyProtection="1">
      <alignment horizontal="left" vertical="center"/>
      <protection hidden="1"/>
    </xf>
    <xf numFmtId="0" fontId="25" fillId="0" borderId="12" xfId="0" applyFont="1" applyBorder="1" applyAlignment="1">
      <alignment horizontal="center" vertical="center"/>
    </xf>
    <xf numFmtId="168" fontId="1" fillId="0" borderId="12" xfId="0" applyNumberFormat="1" applyFont="1" applyFill="1" applyBorder="1" applyAlignment="1" applyProtection="1">
      <alignment horizontal="center"/>
      <protection locked="0" hidden="1"/>
    </xf>
    <xf numFmtId="0" fontId="14" fillId="10" borderId="12" xfId="0" applyFont="1" applyFill="1" applyBorder="1" applyAlignment="1" applyProtection="1">
      <alignment horizontal="left" vertical="center"/>
      <protection hidden="1"/>
    </xf>
    <xf numFmtId="0" fontId="15" fillId="0" borderId="12" xfId="0" applyFont="1" applyBorder="1" applyAlignment="1" applyProtection="1">
      <alignment horizontal="center"/>
      <protection hidden="1"/>
    </xf>
    <xf numFmtId="1" fontId="1" fillId="0" borderId="12" xfId="0" applyNumberFormat="1" applyFont="1" applyFill="1" applyBorder="1" applyAlignment="1" applyProtection="1">
      <alignment horizontal="center"/>
      <protection locked="0" hidden="1"/>
    </xf>
    <xf numFmtId="0" fontId="7" fillId="10" borderId="12" xfId="0" applyFont="1" applyFill="1" applyBorder="1" applyAlignment="1">
      <alignment horizontal="left" vertical="center" wrapText="1"/>
    </xf>
    <xf numFmtId="165" fontId="27" fillId="3" borderId="12" xfId="0" applyNumberFormat="1" applyFont="1" applyFill="1" applyBorder="1" applyAlignment="1" applyProtection="1">
      <alignment horizontal="center" vertical="center"/>
      <protection hidden="1"/>
    </xf>
    <xf numFmtId="1" fontId="16" fillId="0" borderId="12" xfId="0" applyNumberFormat="1" applyFont="1" applyBorder="1" applyAlignment="1" applyProtection="1">
      <alignment horizontal="center" vertical="center"/>
      <protection hidden="1"/>
    </xf>
    <xf numFmtId="2" fontId="27" fillId="3" borderId="12" xfId="0" applyNumberFormat="1" applyFont="1" applyFill="1" applyBorder="1" applyAlignment="1" applyProtection="1">
      <alignment horizontal="center" vertical="center"/>
      <protection hidden="1"/>
    </xf>
    <xf numFmtId="0" fontId="16" fillId="6" borderId="12" xfId="0" applyFont="1" applyFill="1" applyBorder="1" applyAlignment="1" applyProtection="1">
      <alignment horizontal="center" vertical="center"/>
      <protection locked="0" hidden="1"/>
    </xf>
    <xf numFmtId="0" fontId="17" fillId="0" borderId="12" xfId="0" applyFont="1" applyBorder="1" applyAlignment="1" applyProtection="1">
      <alignment vertical="center"/>
      <protection hidden="1"/>
    </xf>
    <xf numFmtId="165" fontId="0" fillId="0" borderId="12" xfId="0" applyNumberFormat="1" applyBorder="1" applyAlignment="1" applyProtection="1">
      <alignment vertical="center"/>
      <protection hidden="1"/>
    </xf>
    <xf numFmtId="0" fontId="23" fillId="0" borderId="12" xfId="0" applyFont="1" applyBorder="1" applyAlignment="1" applyProtection="1">
      <alignment vertical="center"/>
      <protection hidden="1"/>
    </xf>
    <xf numFmtId="168" fontId="24" fillId="0" borderId="12" xfId="0" applyNumberFormat="1" applyFont="1" applyBorder="1" applyAlignment="1" applyProtection="1">
      <alignment vertical="center"/>
      <protection hidden="1"/>
    </xf>
    <xf numFmtId="10" fontId="0" fillId="0" borderId="12" xfId="2" applyNumberFormat="1" applyFont="1" applyBorder="1" applyAlignment="1" applyProtection="1">
      <alignment vertical="center"/>
      <protection hidden="1"/>
    </xf>
    <xf numFmtId="167" fontId="2" fillId="0" borderId="12" xfId="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0" applyFont="1" applyBorder="1"/>
    <xf numFmtId="175" fontId="0" fillId="0" borderId="0" xfId="0" applyNumberFormat="1" applyBorder="1"/>
    <xf numFmtId="0" fontId="2" fillId="0" borderId="0" xfId="0" applyFont="1" applyFill="1" applyBorder="1"/>
    <xf numFmtId="176" fontId="0" fillId="0" borderId="0" xfId="1" applyNumberFormat="1" applyFont="1" applyBorder="1"/>
    <xf numFmtId="177" fontId="0" fillId="0" borderId="0" xfId="3" applyNumberFormat="1" applyFont="1" applyBorder="1"/>
    <xf numFmtId="177" fontId="0" fillId="0" borderId="0" xfId="3" applyNumberFormat="1" applyFont="1" applyFill="1" applyBorder="1"/>
    <xf numFmtId="177" fontId="2" fillId="0" borderId="0" xfId="3" applyNumberFormat="1" applyFont="1" applyFill="1" applyBorder="1"/>
    <xf numFmtId="0" fontId="15" fillId="11" borderId="12" xfId="0" applyFont="1" applyFill="1" applyBorder="1" applyAlignment="1" applyProtection="1">
      <alignment horizontal="center"/>
      <protection hidden="1"/>
    </xf>
    <xf numFmtId="9" fontId="15" fillId="11" borderId="12" xfId="1" applyNumberFormat="1" applyFont="1" applyFill="1" applyBorder="1" applyAlignment="1" applyProtection="1">
      <alignment horizontal="center"/>
      <protection hidden="1"/>
    </xf>
    <xf numFmtId="0" fontId="30" fillId="0" borderId="0" xfId="4" applyBorder="1"/>
    <xf numFmtId="0" fontId="30" fillId="0" borderId="0" xfId="4"/>
    <xf numFmtId="167" fontId="1" fillId="9" borderId="20" xfId="2" applyNumberFormat="1" applyFont="1" applyFill="1" applyBorder="1" applyAlignment="1" applyProtection="1">
      <alignment horizontal="right"/>
      <protection locked="0" hidden="1"/>
    </xf>
    <xf numFmtId="0" fontId="7" fillId="10" borderId="1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/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68" fontId="10" fillId="0" borderId="12" xfId="0" applyNumberFormat="1" applyFont="1" applyFill="1" applyBorder="1" applyAlignment="1" applyProtection="1">
      <alignment horizontal="center"/>
      <protection hidden="1"/>
    </xf>
    <xf numFmtId="0" fontId="13" fillId="2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6" fillId="0" borderId="12" xfId="0" applyFont="1" applyBorder="1" applyAlignment="1"/>
    <xf numFmtId="0" fontId="5" fillId="2" borderId="12" xfId="0" applyFont="1" applyFill="1" applyBorder="1" applyAlignment="1" applyProtection="1">
      <alignment horizontal="center" vertical="center"/>
      <protection hidden="1"/>
    </xf>
    <xf numFmtId="168" fontId="10" fillId="0" borderId="12" xfId="0" applyNumberFormat="1" applyFont="1" applyBorder="1" applyAlignment="1" applyProtection="1">
      <alignment horizontal="center"/>
      <protection hidden="1"/>
    </xf>
    <xf numFmtId="165" fontId="2" fillId="0" borderId="12" xfId="0" applyNumberFormat="1" applyFont="1" applyBorder="1" applyAlignment="1" applyProtection="1">
      <alignment horizontal="center" vertical="center"/>
      <protection hidden="1"/>
    </xf>
    <xf numFmtId="171" fontId="1" fillId="0" borderId="10" xfId="0" applyNumberFormat="1" applyFont="1" applyFill="1" applyBorder="1" applyAlignment="1" applyProtection="1">
      <alignment horizontal="right"/>
      <protection locked="0" hidden="1"/>
    </xf>
    <xf numFmtId="166" fontId="1" fillId="0" borderId="10" xfId="0" applyNumberFormat="1" applyFont="1" applyFill="1" applyBorder="1" applyAlignment="1" applyProtection="1">
      <alignment horizontal="right"/>
      <protection locked="0" hidden="1"/>
    </xf>
    <xf numFmtId="170" fontId="12" fillId="0" borderId="20" xfId="0" applyNumberFormat="1" applyFont="1" applyBorder="1" applyAlignment="1">
      <alignment horizontal="center" vertical="center"/>
    </xf>
    <xf numFmtId="166" fontId="8" fillId="0" borderId="0" xfId="0" applyNumberFormat="1" applyFont="1"/>
    <xf numFmtId="166" fontId="10" fillId="0" borderId="16" xfId="0" applyNumberFormat="1" applyFont="1" applyBorder="1"/>
    <xf numFmtId="166" fontId="0" fillId="0" borderId="0" xfId="0" applyNumberFormat="1"/>
    <xf numFmtId="166" fontId="12" fillId="0" borderId="20" xfId="0" applyNumberFormat="1" applyFont="1" applyBorder="1" applyAlignment="1">
      <alignment horizontal="center" vertical="center"/>
    </xf>
    <xf numFmtId="166" fontId="10" fillId="0" borderId="15" xfId="0" applyNumberFormat="1" applyFont="1" applyBorder="1"/>
    <xf numFmtId="166" fontId="1" fillId="9" borderId="10" xfId="0" applyNumberFormat="1" applyFont="1" applyFill="1" applyBorder="1" applyAlignment="1" applyProtection="1">
      <alignment horizontal="right"/>
      <protection locked="0" hidden="1"/>
    </xf>
    <xf numFmtId="166" fontId="10" fillId="0" borderId="19" xfId="0" applyNumberFormat="1" applyFont="1" applyBorder="1"/>
    <xf numFmtId="166" fontId="1" fillId="0" borderId="12" xfId="0" applyNumberFormat="1" applyFont="1" applyFill="1" applyBorder="1" applyAlignment="1" applyProtection="1">
      <alignment horizontal="right"/>
      <protection locked="0" hidden="1"/>
    </xf>
    <xf numFmtId="170" fontId="22" fillId="3" borderId="12" xfId="0" applyNumberFormat="1" applyFont="1" applyFill="1" applyBorder="1" applyAlignment="1" applyProtection="1">
      <alignment horizontal="right"/>
      <protection hidden="1"/>
    </xf>
    <xf numFmtId="170" fontId="1" fillId="0" borderId="12" xfId="0" applyNumberFormat="1" applyFont="1" applyFill="1" applyBorder="1" applyAlignment="1" applyProtection="1">
      <alignment horizontal="center"/>
      <protection locked="0" hidden="1"/>
    </xf>
    <xf numFmtId="170" fontId="10" fillId="0" borderId="12" xfId="0" applyNumberFormat="1" applyFont="1" applyFill="1" applyBorder="1" applyAlignment="1" applyProtection="1">
      <alignment horizontal="center"/>
      <protection hidden="1"/>
    </xf>
    <xf numFmtId="0" fontId="17" fillId="12" borderId="12" xfId="0" applyFont="1" applyFill="1" applyBorder="1" applyAlignment="1" applyProtection="1">
      <alignment vertical="center"/>
      <protection hidden="1"/>
    </xf>
    <xf numFmtId="168" fontId="1" fillId="12" borderId="12" xfId="0" applyNumberFormat="1" applyFont="1" applyFill="1" applyBorder="1" applyAlignment="1" applyProtection="1">
      <alignment vertical="center"/>
      <protection hidden="1"/>
    </xf>
    <xf numFmtId="0" fontId="17" fillId="13" borderId="12" xfId="0" applyFont="1" applyFill="1" applyBorder="1" applyAlignment="1" applyProtection="1">
      <alignment vertical="center"/>
      <protection hidden="1"/>
    </xf>
    <xf numFmtId="168" fontId="1" fillId="13" borderId="12" xfId="0" applyNumberFormat="1" applyFont="1" applyFill="1" applyBorder="1" applyAlignment="1" applyProtection="1">
      <alignment vertical="center"/>
      <protection hidden="1"/>
    </xf>
    <xf numFmtId="0" fontId="17" fillId="14" borderId="12" xfId="0" applyFont="1" applyFill="1" applyBorder="1" applyAlignment="1" applyProtection="1">
      <alignment vertical="center"/>
      <protection hidden="1"/>
    </xf>
    <xf numFmtId="168" fontId="1" fillId="14" borderId="12" xfId="0" applyNumberFormat="1" applyFont="1" applyFill="1" applyBorder="1" applyAlignment="1" applyProtection="1">
      <alignment vertical="center"/>
      <protection hidden="1"/>
    </xf>
    <xf numFmtId="170" fontId="1" fillId="14" borderId="12" xfId="0" applyNumberFormat="1" applyFont="1" applyFill="1" applyBorder="1" applyAlignment="1" applyProtection="1">
      <alignment vertical="center"/>
      <protection hidden="1"/>
    </xf>
    <xf numFmtId="0" fontId="17" fillId="15" borderId="12" xfId="0" applyFont="1" applyFill="1" applyBorder="1" applyAlignment="1" applyProtection="1">
      <alignment vertical="center"/>
      <protection hidden="1"/>
    </xf>
    <xf numFmtId="165" fontId="0" fillId="15" borderId="12" xfId="0" applyNumberFormat="1" applyFill="1" applyBorder="1" applyAlignment="1" applyProtection="1">
      <alignment vertical="center"/>
      <protection hidden="1"/>
    </xf>
    <xf numFmtId="0" fontId="19" fillId="12" borderId="12" xfId="0" applyFont="1" applyFill="1" applyBorder="1" applyAlignment="1" applyProtection="1">
      <alignment vertical="center"/>
      <protection hidden="1"/>
    </xf>
    <xf numFmtId="168" fontId="20" fillId="12" borderId="12" xfId="0" applyNumberFormat="1" applyFont="1" applyFill="1" applyBorder="1" applyAlignment="1" applyProtection="1">
      <alignment vertical="center"/>
      <protection hidden="1"/>
    </xf>
  </cellXfs>
  <cellStyles count="5">
    <cellStyle name="Hipervínculo" xfId="4" builtinId="8"/>
    <cellStyle name="Millares" xfId="3" builtinId="3"/>
    <cellStyle name="Moneda" xfId="1" builtinId="4"/>
    <cellStyle name="Normal" xfId="0" builtinId="0"/>
    <cellStyle name="Porcentaje" xfId="2" builtinId="5"/>
  </cellStyles>
  <dxfs count="8">
    <dxf>
      <fill>
        <patternFill patternType="solid">
          <fgColor theme="5"/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042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zoomScale="80" zoomScaleNormal="80" workbookViewId="0">
      <selection activeCell="C11" sqref="C11"/>
    </sheetView>
  </sheetViews>
  <sheetFormatPr defaultColWidth="11.42578125" defaultRowHeight="15" customHeight="1"/>
  <cols>
    <col min="1" max="1" width="38.140625" bestFit="1" customWidth="1"/>
    <col min="2" max="2" width="22.85546875" customWidth="1"/>
    <col min="3" max="3" width="17.28515625" bestFit="1" customWidth="1"/>
    <col min="4" max="4" width="41.140625" bestFit="1" customWidth="1"/>
    <col min="5" max="5" width="34.42578125" bestFit="1" customWidth="1"/>
    <col min="7" max="7" width="41.140625" bestFit="1" customWidth="1"/>
    <col min="8" max="8" width="34.42578125" customWidth="1"/>
    <col min="9" max="9" width="16.42578125" bestFit="1" customWidth="1"/>
  </cols>
  <sheetData>
    <row r="1" spans="1:8">
      <c r="A1" s="116"/>
    </row>
    <row r="3" spans="1:8" ht="14.45" customHeight="1">
      <c r="A3" s="119" t="s">
        <v>0</v>
      </c>
      <c r="B3" s="120"/>
      <c r="D3" s="121" t="s">
        <v>1</v>
      </c>
      <c r="E3" s="122"/>
      <c r="G3" s="121" t="s">
        <v>2</v>
      </c>
      <c r="H3" s="122"/>
    </row>
    <row r="4" spans="1:8" ht="14.45" customHeight="1">
      <c r="A4" s="45" t="s">
        <v>3</v>
      </c>
      <c r="B4" s="134">
        <v>7</v>
      </c>
      <c r="D4" s="1" t="str">
        <f>+A4</f>
        <v>Costo de la Mercancia Vendida</v>
      </c>
      <c r="E4" s="136">
        <f>+B4</f>
        <v>7</v>
      </c>
      <c r="G4" s="123"/>
      <c r="H4" s="124"/>
    </row>
    <row r="5" spans="1:8" ht="14.45" customHeight="1">
      <c r="A5" s="45" t="s">
        <v>4</v>
      </c>
      <c r="B5" s="134">
        <v>7</v>
      </c>
      <c r="D5" s="1" t="str">
        <f>+A5</f>
        <v>Flete de Envío</v>
      </c>
      <c r="E5" s="136">
        <f>+B5</f>
        <v>7</v>
      </c>
      <c r="G5" s="2"/>
      <c r="H5" s="3"/>
    </row>
    <row r="6" spans="1:8" ht="15.75">
      <c r="A6" s="45" t="s">
        <v>5</v>
      </c>
      <c r="B6" s="31">
        <v>0</v>
      </c>
      <c r="C6" s="4"/>
      <c r="D6" s="1" t="str">
        <f>+A6</f>
        <v>Seguro de Devoluciones</v>
      </c>
      <c r="E6" s="136">
        <f>+B6*E5</f>
        <v>0</v>
      </c>
      <c r="G6" s="5" t="s">
        <v>6</v>
      </c>
      <c r="H6" s="141">
        <v>29.99</v>
      </c>
    </row>
    <row r="7" spans="1:8" ht="15.75">
      <c r="A7" s="46" t="s">
        <v>7</v>
      </c>
      <c r="B7" s="134">
        <v>5</v>
      </c>
      <c r="C7" s="4"/>
      <c r="D7" s="1" t="str">
        <f>+A7</f>
        <v>Costo por Compra Estimado</v>
      </c>
      <c r="E7" s="136">
        <f>+B7</f>
        <v>5</v>
      </c>
      <c r="G7" s="6" t="s">
        <v>8</v>
      </c>
      <c r="H7" s="140">
        <f>+E9</f>
        <v>20</v>
      </c>
    </row>
    <row r="8" spans="1:8" ht="15.75">
      <c r="A8" s="45" t="s">
        <v>9</v>
      </c>
      <c r="B8" s="133">
        <v>1</v>
      </c>
      <c r="C8" s="4"/>
      <c r="D8" s="1" t="str">
        <f>+A8</f>
        <v>Costo del Fullfillment</v>
      </c>
      <c r="E8" s="136">
        <f>+B8</f>
        <v>1</v>
      </c>
      <c r="G8" s="5" t="s">
        <v>10</v>
      </c>
      <c r="H8" s="7">
        <f>+H6*B9</f>
        <v>0</v>
      </c>
    </row>
    <row r="9" spans="1:8" ht="15.75">
      <c r="A9" s="45" t="s">
        <v>11</v>
      </c>
      <c r="B9" s="32">
        <v>0</v>
      </c>
      <c r="C9" s="4"/>
      <c r="D9" s="8" t="s">
        <v>8</v>
      </c>
      <c r="E9" s="137">
        <f>+SUM(E4:E8)</f>
        <v>20</v>
      </c>
      <c r="G9" s="5" t="s">
        <v>12</v>
      </c>
      <c r="H9" s="7">
        <f>+H8*B10</f>
        <v>0</v>
      </c>
    </row>
    <row r="10" spans="1:8" ht="15.75">
      <c r="A10" s="45" t="s">
        <v>13</v>
      </c>
      <c r="B10" s="32">
        <v>0</v>
      </c>
      <c r="C10" s="4"/>
      <c r="D10" s="1" t="s">
        <v>10</v>
      </c>
      <c r="E10" s="136">
        <f>+B18*B9</f>
        <v>0</v>
      </c>
      <c r="G10" s="5" t="s">
        <v>14</v>
      </c>
      <c r="H10" s="9">
        <f>+B11</f>
        <v>0.03</v>
      </c>
    </row>
    <row r="11" spans="1:8" ht="15.75">
      <c r="A11" s="45" t="s">
        <v>15</v>
      </c>
      <c r="B11" s="32">
        <v>0.03</v>
      </c>
      <c r="C11" s="4"/>
      <c r="D11" s="1" t="s">
        <v>12</v>
      </c>
      <c r="E11" s="136">
        <f>+B10*E10</f>
        <v>0</v>
      </c>
      <c r="G11" s="5" t="str">
        <f>+A12</f>
        <v>Tasa Comisión de Pasarela de Pago</v>
      </c>
      <c r="H11" s="9">
        <f>+B12</f>
        <v>0.05</v>
      </c>
    </row>
    <row r="12" spans="1:8" ht="15.75">
      <c r="A12" s="45" t="s">
        <v>16</v>
      </c>
      <c r="B12" s="32">
        <v>0.05</v>
      </c>
      <c r="C12" s="10">
        <f>+B11*B18</f>
        <v>0.8</v>
      </c>
      <c r="D12" s="1" t="s">
        <v>14</v>
      </c>
      <c r="E12" s="138">
        <f>+B11*B18</f>
        <v>0.8</v>
      </c>
      <c r="G12" s="5" t="s">
        <v>17</v>
      </c>
      <c r="H12" s="7">
        <f>+H6*H10*H11</f>
        <v>4.4984999999999997E-2</v>
      </c>
    </row>
    <row r="13" spans="1:8" ht="15.75">
      <c r="A13" s="45" t="s">
        <v>18</v>
      </c>
      <c r="B13" s="33">
        <v>0</v>
      </c>
      <c r="C13" s="4"/>
      <c r="D13" s="1" t="s">
        <v>17</v>
      </c>
      <c r="E13" s="136">
        <f>+E12*B12</f>
        <v>4.0000000000000008E-2</v>
      </c>
      <c r="G13" s="11" t="s">
        <v>19</v>
      </c>
      <c r="H13" s="12">
        <f>+H6*B13</f>
        <v>0</v>
      </c>
    </row>
    <row r="14" spans="1:8" ht="28.7" customHeight="1">
      <c r="C14" s="4"/>
      <c r="D14" s="13" t="s">
        <v>19</v>
      </c>
      <c r="E14" s="14">
        <f>+B18*B13</f>
        <v>0</v>
      </c>
      <c r="G14" s="15" t="s">
        <v>20</v>
      </c>
      <c r="H14" s="142">
        <f>+H7+SUM(H8:H13)</f>
        <v>20.124984999999999</v>
      </c>
    </row>
    <row r="15" spans="1:8">
      <c r="C15" s="4"/>
      <c r="D15" s="16" t="s">
        <v>20</v>
      </c>
      <c r="E15" s="137">
        <f>+E9+SUM(E10:E14)</f>
        <v>20.84</v>
      </c>
    </row>
    <row r="16" spans="1:8">
      <c r="C16" s="4"/>
      <c r="E16" s="138"/>
    </row>
    <row r="17" spans="1:8" ht="15.75">
      <c r="A17" s="48" t="s">
        <v>21</v>
      </c>
      <c r="B17" s="117">
        <v>0.25</v>
      </c>
      <c r="C17" s="4"/>
      <c r="D17" s="48" t="s">
        <v>22</v>
      </c>
      <c r="E17" s="139">
        <f>+B18-E15</f>
        <v>5.826666666666668</v>
      </c>
      <c r="G17" s="48" t="s">
        <v>22</v>
      </c>
      <c r="H17" s="135">
        <f>+H6-H14</f>
        <v>9.8650149999999996</v>
      </c>
    </row>
    <row r="18" spans="1:8" ht="15.75">
      <c r="A18" s="48" t="s">
        <v>23</v>
      </c>
      <c r="B18" s="135">
        <f>+E9/(1-B17)</f>
        <v>26.666666666666668</v>
      </c>
      <c r="C18" s="4"/>
      <c r="D18" s="48" t="s">
        <v>24</v>
      </c>
      <c r="E18" s="17">
        <f>+E17/B18</f>
        <v>0.21850000000000003</v>
      </c>
      <c r="G18" s="48" t="s">
        <v>24</v>
      </c>
      <c r="H18" s="17">
        <f>+H17/H6</f>
        <v>0.3289434811603868</v>
      </c>
    </row>
    <row r="19" spans="1:8"/>
  </sheetData>
  <mergeCells count="3">
    <mergeCell ref="A3:B3"/>
    <mergeCell ref="D3:E3"/>
    <mergeCell ref="G3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K1005"/>
  <sheetViews>
    <sheetView tabSelected="1" topLeftCell="G13" zoomScale="90" zoomScaleNormal="90" workbookViewId="0">
      <selection activeCell="K28" sqref="K28"/>
    </sheetView>
  </sheetViews>
  <sheetFormatPr defaultColWidth="12.5703125" defaultRowHeight="15.75" customHeight="1"/>
  <cols>
    <col min="1" max="1" width="0.42578125" style="49" customWidth="1"/>
    <col min="2" max="2" width="1.140625" style="49" customWidth="1"/>
    <col min="3" max="3" width="39.42578125" style="49" bestFit="1" customWidth="1"/>
    <col min="4" max="4" width="18.42578125" style="49" bestFit="1" customWidth="1"/>
    <col min="5" max="5" width="20" style="49" bestFit="1" customWidth="1"/>
    <col min="6" max="6" width="17.85546875" style="49" bestFit="1" customWidth="1"/>
    <col min="7" max="7" width="19" style="49" bestFit="1" customWidth="1"/>
    <col min="8" max="8" width="42.42578125" style="49" customWidth="1"/>
    <col min="9" max="9" width="27.85546875" style="49" bestFit="1" customWidth="1"/>
    <col min="10" max="10" width="15.140625" style="49" customWidth="1"/>
    <col min="11" max="11" width="13.5703125" style="49" customWidth="1"/>
    <col min="12" max="12" width="42.42578125" style="50" customWidth="1"/>
    <col min="13" max="13" width="30.140625" style="50" customWidth="1"/>
    <col min="14" max="14" width="16.42578125" style="49" bestFit="1" customWidth="1"/>
    <col min="15" max="15" width="27.42578125" style="49" bestFit="1" customWidth="1"/>
    <col min="16" max="16" width="23.42578125" style="49" bestFit="1" customWidth="1"/>
    <col min="17" max="17" width="16.42578125" style="49" customWidth="1"/>
    <col min="18" max="18" width="24.28515625" style="49" bestFit="1" customWidth="1"/>
    <col min="19" max="20" width="16.42578125" style="49" customWidth="1"/>
    <col min="21" max="21" width="26.42578125" style="49" bestFit="1" customWidth="1"/>
    <col min="22" max="22" width="16.140625" style="49" bestFit="1" customWidth="1"/>
    <col min="23" max="23" width="16.85546875" style="49" bestFit="1" customWidth="1"/>
    <col min="24" max="24" width="17.85546875" style="49" bestFit="1" customWidth="1"/>
    <col min="25" max="27" width="10.5703125" style="49" customWidth="1"/>
    <col min="28" max="28" width="12.140625" style="49" bestFit="1" customWidth="1"/>
    <col min="29" max="29" width="12" style="49" customWidth="1"/>
    <col min="30" max="30" width="14.85546875" style="49" customWidth="1"/>
    <col min="31" max="38" width="10.5703125" style="49" customWidth="1"/>
    <col min="39" max="16384" width="12.5703125" style="49"/>
  </cols>
  <sheetData>
    <row r="1" spans="3:26" ht="25.5" customHeight="1">
      <c r="C1" s="115"/>
    </row>
    <row r="2" spans="3:26" ht="16.5" customHeight="1">
      <c r="C2" s="126" t="s">
        <v>25</v>
      </c>
      <c r="D2" s="126"/>
      <c r="E2" s="126"/>
      <c r="F2" s="126"/>
      <c r="G2" s="126"/>
      <c r="I2" s="127" t="s">
        <v>26</v>
      </c>
      <c r="J2" s="127"/>
      <c r="K2" s="127"/>
      <c r="L2" s="127"/>
      <c r="M2" s="127"/>
    </row>
    <row r="3" spans="3:26" ht="16.5" customHeight="1">
      <c r="C3" s="92" t="s">
        <v>27</v>
      </c>
      <c r="D3" s="18" t="s">
        <v>28</v>
      </c>
      <c r="E3" s="18" t="s">
        <v>29</v>
      </c>
      <c r="F3" s="113" t="s">
        <v>30</v>
      </c>
      <c r="G3" s="93" t="s">
        <v>31</v>
      </c>
      <c r="I3" s="118" t="s">
        <v>32</v>
      </c>
      <c r="J3" s="128" t="s">
        <v>33</v>
      </c>
      <c r="K3" s="128"/>
      <c r="L3" s="128"/>
      <c r="M3" s="128"/>
    </row>
    <row r="4" spans="3:26" ht="16.5" customHeight="1">
      <c r="C4" s="92" t="s">
        <v>34</v>
      </c>
      <c r="D4" s="18" t="s">
        <v>35</v>
      </c>
      <c r="E4" s="18" t="s">
        <v>36</v>
      </c>
      <c r="F4" s="113" t="s">
        <v>37</v>
      </c>
      <c r="G4" s="93" t="s">
        <v>38</v>
      </c>
      <c r="I4" s="44" t="s">
        <v>39</v>
      </c>
      <c r="J4" s="19">
        <v>5000</v>
      </c>
      <c r="K4" s="19">
        <v>10000</v>
      </c>
      <c r="L4" s="19">
        <v>15000</v>
      </c>
      <c r="M4" s="19">
        <v>20000</v>
      </c>
    </row>
    <row r="5" spans="3:26" ht="16.5" customHeight="1">
      <c r="C5" s="92" t="s">
        <v>40</v>
      </c>
      <c r="D5" s="18" t="s">
        <v>41</v>
      </c>
      <c r="E5" s="18" t="s">
        <v>42</v>
      </c>
      <c r="F5" s="113" t="s">
        <v>43</v>
      </c>
      <c r="G5" s="18" t="s">
        <v>44</v>
      </c>
      <c r="I5" s="44" t="s">
        <v>45</v>
      </c>
      <c r="J5" s="21">
        <v>0.01</v>
      </c>
      <c r="K5" s="21">
        <v>0.02</v>
      </c>
      <c r="L5" s="21">
        <v>2.5000000000000001E-2</v>
      </c>
      <c r="M5" s="21">
        <v>0.03</v>
      </c>
    </row>
    <row r="6" spans="3:26" ht="16.5" customHeight="1">
      <c r="C6" s="92" t="s">
        <v>46</v>
      </c>
      <c r="D6" s="20">
        <v>0.05</v>
      </c>
      <c r="E6" s="20">
        <v>0.03</v>
      </c>
      <c r="F6" s="114">
        <v>2.5000000000000001E-2</v>
      </c>
      <c r="G6" s="20">
        <v>0.02</v>
      </c>
      <c r="I6" s="44" t="s">
        <v>47</v>
      </c>
      <c r="J6" s="21">
        <v>0.6</v>
      </c>
      <c r="K6" s="21">
        <v>0.7</v>
      </c>
      <c r="L6" s="21">
        <v>0.8</v>
      </c>
      <c r="M6" s="21">
        <v>0.9</v>
      </c>
    </row>
    <row r="7" spans="3:26" ht="16.5" customHeight="1">
      <c r="I7" s="44" t="s">
        <v>48</v>
      </c>
      <c r="J7" s="21">
        <v>0.7</v>
      </c>
      <c r="K7" s="21">
        <v>0.8</v>
      </c>
      <c r="L7" s="21">
        <v>0.9</v>
      </c>
      <c r="M7" s="21">
        <v>0.95</v>
      </c>
    </row>
    <row r="8" spans="3:26" ht="16.5" customHeight="1">
      <c r="I8" s="44" t="s">
        <v>49</v>
      </c>
      <c r="J8" s="21">
        <v>0.1</v>
      </c>
      <c r="K8" s="21">
        <v>0.15</v>
      </c>
      <c r="L8" s="21">
        <v>0.2</v>
      </c>
      <c r="M8" s="21">
        <v>0.25</v>
      </c>
    </row>
    <row r="9" spans="3:26" ht="16.5" customHeight="1"/>
    <row r="10" spans="3:26" ht="16.5" customHeight="1"/>
    <row r="11" spans="3:26" ht="16.5" customHeight="1"/>
    <row r="12" spans="3:26" ht="18.600000000000001">
      <c r="L12" s="22" t="s">
        <v>50</v>
      </c>
      <c r="M12" s="99">
        <v>30</v>
      </c>
      <c r="O12" s="106" t="s">
        <v>51</v>
      </c>
      <c r="P12" s="49">
        <v>250</v>
      </c>
    </row>
    <row r="13" spans="3:26" ht="20.25" customHeight="1">
      <c r="C13" s="127" t="s">
        <v>0</v>
      </c>
      <c r="D13" s="129"/>
      <c r="H13" s="130" t="s">
        <v>52</v>
      </c>
      <c r="I13" s="130"/>
      <c r="J13" s="130"/>
      <c r="L13" s="127" t="s">
        <v>53</v>
      </c>
      <c r="M13" s="127"/>
      <c r="O13" s="106" t="s">
        <v>54</v>
      </c>
      <c r="P13" s="107">
        <f>$D$15*$P$12</f>
        <v>1750</v>
      </c>
    </row>
    <row r="14" spans="3:26" ht="20.25" customHeight="1">
      <c r="C14" s="44" t="s">
        <v>55</v>
      </c>
      <c r="D14" s="143">
        <v>29.99</v>
      </c>
      <c r="E14" s="51"/>
      <c r="H14" s="44" t="s">
        <v>56</v>
      </c>
      <c r="I14" s="143">
        <v>1000</v>
      </c>
      <c r="J14" s="83"/>
      <c r="L14" s="147" t="s">
        <v>57</v>
      </c>
      <c r="M14" s="148">
        <f>+(D14*I25)+(D37*D38)+(E37*E38)</f>
        <v>2729.2299999999996</v>
      </c>
      <c r="O14" s="106"/>
      <c r="Q14" s="59"/>
      <c r="R14" s="59"/>
      <c r="S14" s="59"/>
      <c r="T14" s="59"/>
    </row>
    <row r="15" spans="3:26" ht="20.25" customHeight="1">
      <c r="C15" s="44" t="s">
        <v>58</v>
      </c>
      <c r="D15" s="143">
        <v>7</v>
      </c>
      <c r="E15" s="51"/>
      <c r="H15" s="44" t="s">
        <v>59</v>
      </c>
      <c r="I15" s="143">
        <v>4</v>
      </c>
      <c r="J15" s="84"/>
      <c r="L15" s="147" t="s">
        <v>60</v>
      </c>
      <c r="M15" s="148">
        <f>+I33</f>
        <v>1259.58</v>
      </c>
      <c r="O15" s="106" t="s">
        <v>61</v>
      </c>
      <c r="P15" s="59">
        <f>(I32*D15)+M35</f>
        <v>350.67573500000003</v>
      </c>
      <c r="W15" s="52" t="s">
        <v>62</v>
      </c>
      <c r="X15" s="53"/>
      <c r="Y15" s="52"/>
      <c r="Z15" s="52"/>
    </row>
    <row r="16" spans="3:26" ht="20.25" customHeight="1">
      <c r="C16" s="44" t="s">
        <v>4</v>
      </c>
      <c r="D16" s="143">
        <v>7</v>
      </c>
      <c r="H16" s="44" t="s">
        <v>63</v>
      </c>
      <c r="I16" s="85">
        <f>IFERROR(ROUND(I14/I15*1000,0),0)</f>
        <v>250000</v>
      </c>
      <c r="J16" s="83"/>
      <c r="L16" s="147" t="s">
        <v>64</v>
      </c>
      <c r="M16" s="148">
        <f>+D41</f>
        <v>629.93000000000006</v>
      </c>
      <c r="O16" s="108" t="s">
        <v>65</v>
      </c>
      <c r="P16" s="66">
        <f>P15/P13</f>
        <v>0.20038613428571431</v>
      </c>
      <c r="W16" s="52" t="s">
        <v>66</v>
      </c>
      <c r="X16" s="52"/>
      <c r="Y16" s="52"/>
      <c r="Z16" s="52"/>
    </row>
    <row r="17" spans="3:26" ht="19.5" customHeight="1">
      <c r="C17" s="44" t="s">
        <v>67</v>
      </c>
      <c r="D17" s="143">
        <v>1</v>
      </c>
      <c r="E17" s="54"/>
      <c r="H17" s="44" t="s">
        <v>68</v>
      </c>
      <c r="I17" s="146">
        <f>IFERROR($I$14/I16,0)</f>
        <v>4.0000000000000001E-3</v>
      </c>
      <c r="J17" s="146"/>
      <c r="L17" s="147" t="s">
        <v>69</v>
      </c>
      <c r="M17" s="148">
        <f>+M15+M16</f>
        <v>1889.51</v>
      </c>
      <c r="W17" s="52"/>
      <c r="X17" s="52" t="s">
        <v>70</v>
      </c>
      <c r="Y17" s="52" t="s">
        <v>71</v>
      </c>
      <c r="Z17" s="52"/>
    </row>
    <row r="18" spans="3:26" ht="15.6">
      <c r="C18" s="44" t="s">
        <v>11</v>
      </c>
      <c r="D18" s="39">
        <v>0</v>
      </c>
      <c r="H18" s="44" t="s">
        <v>45</v>
      </c>
      <c r="I18" s="39">
        <v>0.02</v>
      </c>
      <c r="J18" s="83"/>
      <c r="L18" s="156" t="s">
        <v>72</v>
      </c>
      <c r="M18" s="157">
        <f>+IF(D49=W15,(M17/(1+D19)*D19),0)</f>
        <v>0</v>
      </c>
      <c r="W18" s="56">
        <v>1</v>
      </c>
      <c r="X18" s="57">
        <f t="shared" ref="X18:X47" si="0">+($D$31/30)*W18</f>
        <v>0.83333333333333337</v>
      </c>
      <c r="Y18" s="58">
        <f t="shared" ref="Y18:Y47" si="1">+($D$23/30)*W18</f>
        <v>0</v>
      </c>
      <c r="Z18" s="52"/>
    </row>
    <row r="19" spans="3:26" ht="16.5" customHeight="1">
      <c r="C19" s="44" t="s">
        <v>13</v>
      </c>
      <c r="D19" s="39">
        <v>0</v>
      </c>
      <c r="H19" s="44" t="s">
        <v>73</v>
      </c>
      <c r="I19" s="38">
        <f>ROUND(I16*I18,0)</f>
        <v>5000</v>
      </c>
      <c r="J19" s="86"/>
      <c r="L19" s="149" t="s">
        <v>74</v>
      </c>
      <c r="M19" s="150">
        <f>+M17-M18</f>
        <v>1889.51</v>
      </c>
      <c r="N19" s="59"/>
      <c r="P19" s="106" t="s">
        <v>75</v>
      </c>
      <c r="Q19" s="106" t="s">
        <v>76</v>
      </c>
      <c r="R19" s="106" t="s">
        <v>77</v>
      </c>
      <c r="S19" s="106"/>
      <c r="T19" s="108"/>
      <c r="W19" s="56">
        <v>2</v>
      </c>
      <c r="X19" s="57">
        <f t="shared" si="0"/>
        <v>1.6666666666666667</v>
      </c>
      <c r="Y19" s="58">
        <f t="shared" si="1"/>
        <v>0</v>
      </c>
      <c r="Z19" s="52"/>
    </row>
    <row r="20" spans="3:26" ht="15.6">
      <c r="C20" s="44" t="s">
        <v>15</v>
      </c>
      <c r="D20" s="39">
        <v>0.03</v>
      </c>
      <c r="H20" s="44" t="s">
        <v>78</v>
      </c>
      <c r="I20" s="146">
        <f>IFERROR($I$14/I19,0)</f>
        <v>0.2</v>
      </c>
      <c r="J20" s="146"/>
      <c r="L20" s="149" t="s">
        <v>79</v>
      </c>
      <c r="M20" s="150">
        <f>+I32*D15</f>
        <v>294</v>
      </c>
      <c r="O20" s="108" t="s">
        <v>54</v>
      </c>
      <c r="P20" s="107">
        <f>P13</f>
        <v>1750</v>
      </c>
      <c r="Q20" s="66">
        <f>$P$16</f>
        <v>0.20038613428571431</v>
      </c>
      <c r="R20" s="109">
        <f>P20*Q20</f>
        <v>350.67573500000003</v>
      </c>
      <c r="S20" s="49">
        <v>75</v>
      </c>
      <c r="T20" s="110">
        <v>20</v>
      </c>
      <c r="U20" s="55"/>
      <c r="W20" s="56">
        <v>3</v>
      </c>
      <c r="X20" s="57">
        <f t="shared" si="0"/>
        <v>2.5</v>
      </c>
      <c r="Y20" s="58">
        <f t="shared" si="1"/>
        <v>0</v>
      </c>
      <c r="Z20" s="52"/>
    </row>
    <row r="21" spans="3:26" ht="18" customHeight="1">
      <c r="C21" s="44" t="s">
        <v>17</v>
      </c>
      <c r="D21" s="39">
        <v>0.05</v>
      </c>
      <c r="H21" s="44" t="s">
        <v>47</v>
      </c>
      <c r="I21" s="39">
        <v>0.7</v>
      </c>
      <c r="J21" s="83"/>
      <c r="L21" s="149" t="s">
        <v>80</v>
      </c>
      <c r="M21" s="150">
        <f>+D42</f>
        <v>161</v>
      </c>
      <c r="N21" s="60"/>
      <c r="O21" s="108" t="s">
        <v>81</v>
      </c>
      <c r="P21" s="107">
        <f>R20</f>
        <v>350.67573500000003</v>
      </c>
      <c r="Q21" s="66">
        <f t="shared" ref="Q21:Q27" si="2">$P$16</f>
        <v>0.20038613428571431</v>
      </c>
      <c r="R21" s="109">
        <f>P21*Q21</f>
        <v>70.270554924451574</v>
      </c>
      <c r="S21" s="49">
        <v>75</v>
      </c>
      <c r="T21" s="110">
        <v>20</v>
      </c>
      <c r="W21" s="56">
        <v>4</v>
      </c>
      <c r="X21" s="57">
        <f t="shared" si="0"/>
        <v>3.3333333333333335</v>
      </c>
      <c r="Y21" s="58">
        <f t="shared" si="1"/>
        <v>0</v>
      </c>
      <c r="Z21" s="52"/>
    </row>
    <row r="22" spans="3:26" ht="15.6">
      <c r="C22" s="44" t="s">
        <v>18</v>
      </c>
      <c r="D22" s="35">
        <v>0</v>
      </c>
      <c r="H22" s="44" t="s">
        <v>82</v>
      </c>
      <c r="I22" s="38">
        <f>ROUND(I19*I21,)</f>
        <v>3500</v>
      </c>
      <c r="J22" s="83"/>
      <c r="L22" s="149" t="s">
        <v>83</v>
      </c>
      <c r="M22" s="150">
        <f>+I32*D16</f>
        <v>294</v>
      </c>
      <c r="O22" s="108" t="s">
        <v>84</v>
      </c>
      <c r="P22" s="107">
        <f>R21</f>
        <v>70.270554924451574</v>
      </c>
      <c r="Q22" s="66">
        <f t="shared" si="2"/>
        <v>0.20038613428571431</v>
      </c>
      <c r="R22" s="109">
        <f>P22*Q22</f>
        <v>14.081244855422815</v>
      </c>
      <c r="S22" s="49">
        <v>75</v>
      </c>
      <c r="T22" s="110">
        <v>20</v>
      </c>
      <c r="W22" s="56">
        <v>5</v>
      </c>
      <c r="X22" s="57">
        <f t="shared" si="0"/>
        <v>4.166666666666667</v>
      </c>
      <c r="Y22" s="58">
        <f t="shared" si="1"/>
        <v>0</v>
      </c>
      <c r="Z22" s="52"/>
    </row>
    <row r="23" spans="3:26" ht="15.6">
      <c r="C23" s="44" t="s">
        <v>85</v>
      </c>
      <c r="D23" s="34"/>
      <c r="H23" s="44" t="s">
        <v>86</v>
      </c>
      <c r="I23" s="125">
        <f>IFERROR($I$14/I22,0)</f>
        <v>0.2857142857142857</v>
      </c>
      <c r="J23" s="125"/>
      <c r="L23" s="149" t="s">
        <v>87</v>
      </c>
      <c r="M23" s="150">
        <f>+I31*0</f>
        <v>0</v>
      </c>
      <c r="O23" s="108" t="s">
        <v>88</v>
      </c>
      <c r="P23" s="107">
        <f>R22</f>
        <v>14.081244855422815</v>
      </c>
      <c r="Q23" s="66">
        <f t="shared" si="2"/>
        <v>0.20038613428571431</v>
      </c>
      <c r="R23" s="109">
        <f>P23*Q23</f>
        <v>2.82168622250878</v>
      </c>
      <c r="T23" s="110">
        <v>20</v>
      </c>
      <c r="V23" s="61"/>
      <c r="W23" s="56">
        <v>6</v>
      </c>
      <c r="X23" s="57">
        <f t="shared" si="0"/>
        <v>5</v>
      </c>
      <c r="Y23" s="58">
        <f t="shared" si="1"/>
        <v>0</v>
      </c>
      <c r="Z23" s="52"/>
    </row>
    <row r="24" spans="3:26" ht="15.6">
      <c r="H24" s="44" t="s">
        <v>89</v>
      </c>
      <c r="I24" s="39">
        <v>0.02</v>
      </c>
      <c r="J24" s="83"/>
      <c r="L24" s="149" t="str">
        <f>+C17</f>
        <v>Costo de FullFillment</v>
      </c>
      <c r="M24" s="150">
        <f>+D17*I28</f>
        <v>56</v>
      </c>
      <c r="O24" s="108" t="s">
        <v>90</v>
      </c>
      <c r="P24" s="107">
        <f t="shared" ref="P24:P27" si="3">R23</f>
        <v>2.82168622250878</v>
      </c>
      <c r="Q24" s="66">
        <f t="shared" si="2"/>
        <v>0.20038613428571431</v>
      </c>
      <c r="R24" s="109">
        <f t="shared" ref="R24:R27" si="4">P24*Q24</f>
        <v>0.56542679429579434</v>
      </c>
      <c r="T24" s="111">
        <v>20</v>
      </c>
      <c r="V24" s="61"/>
      <c r="W24" s="56">
        <v>7</v>
      </c>
      <c r="X24" s="57">
        <f t="shared" si="0"/>
        <v>5.8333333333333339</v>
      </c>
      <c r="Y24" s="58">
        <f t="shared" si="1"/>
        <v>0</v>
      </c>
      <c r="Z24" s="52"/>
    </row>
    <row r="25" spans="3:26" ht="21" customHeight="1">
      <c r="C25" s="127" t="s">
        <v>91</v>
      </c>
      <c r="D25" s="127"/>
      <c r="H25" s="44" t="s">
        <v>76</v>
      </c>
      <c r="I25" s="40">
        <f>ROUND(I22*I24,0)</f>
        <v>70</v>
      </c>
      <c r="J25" s="84"/>
      <c r="L25" s="149" t="s">
        <v>92</v>
      </c>
      <c r="M25" s="150">
        <f>SUM(M20:M24)</f>
        <v>805</v>
      </c>
      <c r="O25" s="108" t="s">
        <v>93</v>
      </c>
      <c r="P25" s="107">
        <f t="shared" si="3"/>
        <v>0.56542679429579434</v>
      </c>
      <c r="Q25" s="66">
        <f t="shared" si="2"/>
        <v>0.20038613428571431</v>
      </c>
      <c r="R25" s="109">
        <f t="shared" si="4"/>
        <v>0.11330368953049801</v>
      </c>
      <c r="T25" s="111">
        <v>20</v>
      </c>
      <c r="V25" s="61"/>
      <c r="W25" s="56">
        <v>8</v>
      </c>
      <c r="X25" s="57">
        <f t="shared" si="0"/>
        <v>6.666666666666667</v>
      </c>
      <c r="Y25" s="58">
        <f t="shared" si="1"/>
        <v>0</v>
      </c>
      <c r="Z25" s="52"/>
    </row>
    <row r="26" spans="3:26" ht="15.75" customHeight="1">
      <c r="C26" s="44" t="s">
        <v>94</v>
      </c>
      <c r="D26" s="143">
        <v>25</v>
      </c>
      <c r="H26" s="44" t="s">
        <v>95</v>
      </c>
      <c r="I26" s="125">
        <f>IFERROR(I14/I25,0)</f>
        <v>14.285714285714286</v>
      </c>
      <c r="J26" s="125"/>
      <c r="L26" s="149" t="s">
        <v>10</v>
      </c>
      <c r="M26" s="150">
        <f>IF(M19-M25-M24&lt;0,0,D18*(M17-M20-M21-M22-M23))</f>
        <v>0</v>
      </c>
      <c r="O26" s="108" t="s">
        <v>96</v>
      </c>
      <c r="P26" s="107">
        <f t="shared" si="3"/>
        <v>0.11330368953049801</v>
      </c>
      <c r="Q26" s="66">
        <f t="shared" si="2"/>
        <v>0.20038613428571431</v>
      </c>
      <c r="R26" s="109">
        <f t="shared" si="4"/>
        <v>2.2704488345325256E-2</v>
      </c>
      <c r="T26" s="111">
        <v>20</v>
      </c>
      <c r="V26" s="61"/>
      <c r="W26" s="56">
        <v>9</v>
      </c>
      <c r="X26" s="57">
        <f t="shared" si="0"/>
        <v>7.5</v>
      </c>
      <c r="Y26" s="58">
        <f t="shared" si="1"/>
        <v>0</v>
      </c>
      <c r="Z26" s="52"/>
    </row>
    <row r="27" spans="3:26" ht="17.25" customHeight="1">
      <c r="C27" s="44" t="s">
        <v>97</v>
      </c>
      <c r="D27" s="34">
        <v>0</v>
      </c>
      <c r="H27" s="44" t="s">
        <v>98</v>
      </c>
      <c r="I27" s="41">
        <v>0.8</v>
      </c>
      <c r="J27" s="83"/>
      <c r="L27" s="151" t="s">
        <v>12</v>
      </c>
      <c r="M27" s="152">
        <f>+M26*D19</f>
        <v>0</v>
      </c>
      <c r="O27" s="108" t="s">
        <v>99</v>
      </c>
      <c r="P27" s="107">
        <f t="shared" si="3"/>
        <v>2.2704488345325256E-2</v>
      </c>
      <c r="Q27" s="66">
        <f t="shared" si="2"/>
        <v>0.20038613428571431</v>
      </c>
      <c r="R27" s="109">
        <f t="shared" si="4"/>
        <v>4.5496646504547822E-3</v>
      </c>
      <c r="T27" s="111">
        <v>20</v>
      </c>
      <c r="U27" s="62"/>
      <c r="V27" s="63"/>
      <c r="W27" s="56">
        <v>10</v>
      </c>
      <c r="X27" s="57">
        <f t="shared" si="0"/>
        <v>8.3333333333333339</v>
      </c>
      <c r="Y27" s="58">
        <f t="shared" si="1"/>
        <v>0</v>
      </c>
      <c r="Z27" s="52"/>
    </row>
    <row r="28" spans="3:26" ht="15.6">
      <c r="C28" s="44" t="s">
        <v>100</v>
      </c>
      <c r="D28" s="34">
        <v>0</v>
      </c>
      <c r="H28" s="44" t="s">
        <v>101</v>
      </c>
      <c r="I28" s="38">
        <f>ROUND(I25*I27,0)</f>
        <v>56</v>
      </c>
      <c r="J28" s="83"/>
      <c r="L28" s="151" t="s">
        <v>17</v>
      </c>
      <c r="M28" s="153">
        <f>+(D20*M17)*D21</f>
        <v>2.8342650000000003</v>
      </c>
      <c r="W28" s="56">
        <v>11</v>
      </c>
      <c r="X28" s="57">
        <f t="shared" si="0"/>
        <v>9.1666666666666679</v>
      </c>
      <c r="Y28" s="58">
        <f t="shared" si="1"/>
        <v>0</v>
      </c>
      <c r="Z28" s="52"/>
    </row>
    <row r="29" spans="3:26" ht="15.6">
      <c r="C29" s="44" t="s">
        <v>102</v>
      </c>
      <c r="D29" s="34"/>
      <c r="H29" s="44" t="s">
        <v>103</v>
      </c>
      <c r="I29" s="125">
        <v>15</v>
      </c>
      <c r="J29" s="125"/>
      <c r="L29" s="151" t="s">
        <v>19</v>
      </c>
      <c r="M29" s="153">
        <f>+D22*(M17-M20-M21-M22-M23-M26-M27)</f>
        <v>0</v>
      </c>
      <c r="U29" s="62"/>
      <c r="W29" s="56">
        <v>12</v>
      </c>
      <c r="X29" s="57">
        <f t="shared" si="0"/>
        <v>10</v>
      </c>
      <c r="Y29" s="58">
        <f t="shared" si="1"/>
        <v>0</v>
      </c>
      <c r="Z29" s="52"/>
    </row>
    <row r="30" spans="3:26" ht="15.6">
      <c r="C30" s="44" t="s">
        <v>104</v>
      </c>
      <c r="D30" s="34"/>
      <c r="H30" s="44" t="s">
        <v>49</v>
      </c>
      <c r="I30" s="41">
        <v>0.25</v>
      </c>
      <c r="J30" s="83"/>
      <c r="L30" s="151" t="s">
        <v>105</v>
      </c>
      <c r="M30" s="152">
        <f>+M25+SUM(M26:M29)</f>
        <v>807.83426499999996</v>
      </c>
      <c r="P30" s="106" t="s">
        <v>75</v>
      </c>
      <c r="Q30" s="106" t="s">
        <v>76</v>
      </c>
      <c r="R30" s="106" t="s">
        <v>77</v>
      </c>
      <c r="S30" s="106"/>
      <c r="T30" s="112"/>
      <c r="U30" s="64"/>
      <c r="W30" s="56">
        <v>13</v>
      </c>
      <c r="X30" s="57">
        <f t="shared" si="0"/>
        <v>10.833333333333334</v>
      </c>
      <c r="Y30" s="58">
        <f t="shared" si="1"/>
        <v>0</v>
      </c>
      <c r="Z30" s="52"/>
    </row>
    <row r="31" spans="3:26" ht="23.45" customHeight="1">
      <c r="C31" s="89" t="s">
        <v>106</v>
      </c>
      <c r="D31" s="144">
        <f>SUM(D26:D30)</f>
        <v>25</v>
      </c>
      <c r="H31" s="44" t="s">
        <v>107</v>
      </c>
      <c r="I31" s="38">
        <f>ROUNDUP(I30*I28,0)</f>
        <v>14</v>
      </c>
      <c r="J31" s="83"/>
      <c r="L31" s="154" t="s">
        <v>108</v>
      </c>
      <c r="M31" s="155">
        <f>+I14</f>
        <v>1000</v>
      </c>
      <c r="N31" s="65"/>
      <c r="O31" s="108" t="s">
        <v>54</v>
      </c>
      <c r="P31" s="107">
        <v>3500000</v>
      </c>
      <c r="Q31" s="49">
        <v>4</v>
      </c>
      <c r="R31" s="109">
        <f>P31*Q31</f>
        <v>14000000</v>
      </c>
      <c r="S31" s="49">
        <v>75</v>
      </c>
      <c r="T31" s="110">
        <v>20</v>
      </c>
      <c r="U31" s="64"/>
      <c r="W31" s="56">
        <v>14</v>
      </c>
      <c r="X31" s="57">
        <f t="shared" si="0"/>
        <v>11.666666666666668</v>
      </c>
      <c r="Y31" s="58">
        <f t="shared" si="1"/>
        <v>0</v>
      </c>
      <c r="Z31" s="52"/>
    </row>
    <row r="32" spans="3:26" ht="18.600000000000001">
      <c r="C32" s="89" t="s">
        <v>109</v>
      </c>
      <c r="D32" s="144">
        <f>D31/30</f>
        <v>0.83333333333333337</v>
      </c>
      <c r="H32" s="44" t="s">
        <v>110</v>
      </c>
      <c r="I32" s="42">
        <f>ROUNDDOWN((I28-I31),0)</f>
        <v>42</v>
      </c>
      <c r="J32" s="83"/>
      <c r="L32" s="102" t="s">
        <v>111</v>
      </c>
      <c r="M32" s="103">
        <f>+M19-M30-M31</f>
        <v>81.675735000000032</v>
      </c>
      <c r="O32" s="108" t="s">
        <v>81</v>
      </c>
      <c r="P32" s="107">
        <f>R31</f>
        <v>14000000</v>
      </c>
      <c r="Q32" s="49">
        <v>4</v>
      </c>
      <c r="R32" s="109">
        <f>P32*Q32</f>
        <v>56000000</v>
      </c>
      <c r="S32" s="49">
        <v>75</v>
      </c>
      <c r="T32" s="110">
        <v>20</v>
      </c>
      <c r="U32" s="59"/>
      <c r="W32" s="56">
        <v>15</v>
      </c>
      <c r="X32" s="57">
        <f t="shared" si="0"/>
        <v>12.5</v>
      </c>
      <c r="Y32" s="58">
        <f t="shared" si="1"/>
        <v>0</v>
      </c>
      <c r="Z32" s="52"/>
    </row>
    <row r="33" spans="3:26" ht="15.6">
      <c r="H33" s="44" t="s">
        <v>74</v>
      </c>
      <c r="I33" s="87">
        <f>I32*D14</f>
        <v>1259.58</v>
      </c>
      <c r="J33" s="83"/>
      <c r="K33" s="24"/>
      <c r="L33" s="100" t="s">
        <v>112</v>
      </c>
      <c r="M33" s="101">
        <f>+IF($M$12="",0,VLOOKUP($M$12,$W$17:$Y$47,2,FALSE))</f>
        <v>25</v>
      </c>
      <c r="O33" s="108" t="s">
        <v>84</v>
      </c>
      <c r="P33" s="107">
        <f>R32</f>
        <v>56000000</v>
      </c>
      <c r="Q33" s="49">
        <v>4</v>
      </c>
      <c r="R33" s="109">
        <f>P33*Q33</f>
        <v>224000000</v>
      </c>
      <c r="S33" s="49">
        <v>75</v>
      </c>
      <c r="T33" s="110">
        <v>20</v>
      </c>
      <c r="W33" s="56">
        <v>16</v>
      </c>
      <c r="X33" s="57">
        <f t="shared" si="0"/>
        <v>13.333333333333334</v>
      </c>
      <c r="Y33" s="58">
        <f t="shared" si="1"/>
        <v>0</v>
      </c>
      <c r="Z33" s="52"/>
    </row>
    <row r="34" spans="3:26" ht="18.600000000000001">
      <c r="C34" s="127" t="s">
        <v>113</v>
      </c>
      <c r="D34" s="127"/>
      <c r="E34" s="127"/>
      <c r="H34" s="44" t="s">
        <v>114</v>
      </c>
      <c r="I34" s="131">
        <f>IFERROR(I14/I32,0)</f>
        <v>23.80952380952381</v>
      </c>
      <c r="J34" s="131"/>
      <c r="K34" s="66"/>
      <c r="L34" s="100" t="s">
        <v>71</v>
      </c>
      <c r="M34" s="101">
        <f>+IF($M$12="",0,VLOOKUP($M$12,$W$17:$Y$47,3,FALSE))</f>
        <v>0</v>
      </c>
      <c r="U34" s="59"/>
      <c r="W34" s="56">
        <v>17</v>
      </c>
      <c r="X34" s="57">
        <f t="shared" si="0"/>
        <v>14.166666666666668</v>
      </c>
      <c r="Y34" s="58">
        <f t="shared" si="1"/>
        <v>0</v>
      </c>
      <c r="Z34" s="52"/>
    </row>
    <row r="35" spans="3:26" ht="18.600000000000001">
      <c r="C35" s="47" t="s">
        <v>115</v>
      </c>
      <c r="D35" s="90" t="s">
        <v>116</v>
      </c>
      <c r="E35" s="90" t="s">
        <v>117</v>
      </c>
      <c r="H35" s="44" t="s">
        <v>118</v>
      </c>
      <c r="I35" s="25">
        <f>IFERROR((I25*D14)/I14,0)</f>
        <v>2.0992999999999999</v>
      </c>
      <c r="J35" s="88"/>
      <c r="L35" s="102" t="s">
        <v>119</v>
      </c>
      <c r="M35" s="103">
        <f>M32-M33-M34</f>
        <v>56.675735000000032</v>
      </c>
      <c r="U35" s="59"/>
      <c r="W35" s="56">
        <v>18</v>
      </c>
      <c r="X35" s="57">
        <f t="shared" si="0"/>
        <v>15</v>
      </c>
      <c r="Y35" s="58">
        <f t="shared" si="1"/>
        <v>0</v>
      </c>
      <c r="Z35" s="52"/>
    </row>
    <row r="36" spans="3:26" ht="15.6">
      <c r="C36" s="47" t="s">
        <v>120</v>
      </c>
      <c r="D36" s="105">
        <v>0.15</v>
      </c>
      <c r="E36" s="105">
        <v>0.05</v>
      </c>
      <c r="H36" s="44" t="s">
        <v>121</v>
      </c>
      <c r="I36" s="25">
        <f>IFERROR(I33/I14,0)</f>
        <v>1.2595799999999999</v>
      </c>
      <c r="J36" s="88"/>
      <c r="L36" s="67"/>
      <c r="M36" s="67"/>
      <c r="W36" s="56">
        <v>19</v>
      </c>
      <c r="X36" s="57">
        <f t="shared" si="0"/>
        <v>15.833333333333334</v>
      </c>
      <c r="Y36" s="58">
        <f t="shared" si="1"/>
        <v>0</v>
      </c>
      <c r="Z36" s="52"/>
    </row>
    <row r="37" spans="3:26" ht="14.45">
      <c r="C37" s="47" t="s">
        <v>122</v>
      </c>
      <c r="D37" s="36">
        <f>ROUNDUP(D36*$I$32,0)</f>
        <v>7</v>
      </c>
      <c r="E37" s="36">
        <f>ROUNDUP(E36*$I$32,0)</f>
        <v>3</v>
      </c>
      <c r="L37" s="67"/>
      <c r="M37" s="67"/>
      <c r="W37" s="56">
        <v>20</v>
      </c>
      <c r="X37" s="57">
        <f t="shared" si="0"/>
        <v>16.666666666666668</v>
      </c>
      <c r="Y37" s="58">
        <f t="shared" si="1"/>
        <v>0</v>
      </c>
      <c r="Z37" s="52"/>
    </row>
    <row r="38" spans="3:26" ht="18.75" customHeight="1">
      <c r="C38" s="47" t="s">
        <v>55</v>
      </c>
      <c r="D38" s="145">
        <v>59.99</v>
      </c>
      <c r="E38" s="145">
        <v>70</v>
      </c>
      <c r="L38" s="26" t="s">
        <v>123</v>
      </c>
      <c r="M38" s="104">
        <f>IFERROR(M32/M19,0)</f>
        <v>4.3225881313144691E-2</v>
      </c>
      <c r="W38" s="56">
        <v>21</v>
      </c>
      <c r="X38" s="57">
        <f t="shared" si="0"/>
        <v>17.5</v>
      </c>
      <c r="Y38" s="58">
        <f t="shared" si="1"/>
        <v>0</v>
      </c>
      <c r="Z38" s="52"/>
    </row>
    <row r="39" spans="3:26" ht="22.7" customHeight="1">
      <c r="C39" s="47" t="s">
        <v>124</v>
      </c>
      <c r="D39" s="91">
        <v>14</v>
      </c>
      <c r="E39" s="91">
        <v>21</v>
      </c>
      <c r="H39" s="44" t="s">
        <v>125</v>
      </c>
      <c r="I39" s="23">
        <f>IFERROR(IF(I32=0,#REF!,(I19/I32)),0)</f>
        <v>119.04761904761905</v>
      </c>
      <c r="L39" s="26" t="s">
        <v>126</v>
      </c>
      <c r="M39" s="104">
        <f>IFERROR(M35/M19,0)</f>
        <v>2.9994937841027584E-2</v>
      </c>
      <c r="U39" s="60"/>
      <c r="W39" s="56">
        <v>22</v>
      </c>
      <c r="X39" s="57">
        <f t="shared" si="0"/>
        <v>18.333333333333336</v>
      </c>
      <c r="Y39" s="58">
        <f t="shared" si="1"/>
        <v>0</v>
      </c>
      <c r="Z39" s="52"/>
    </row>
    <row r="40" spans="3:26" ht="28.35" customHeight="1">
      <c r="C40" s="47" t="s">
        <v>127</v>
      </c>
      <c r="D40" s="36">
        <f>(D38-D39)*D37</f>
        <v>321.93</v>
      </c>
      <c r="E40" s="36">
        <f>(E38-E39)*E37</f>
        <v>147</v>
      </c>
      <c r="H40" s="44" t="s">
        <v>128</v>
      </c>
      <c r="I40" s="94">
        <v>100</v>
      </c>
      <c r="L40" s="26" t="s">
        <v>129</v>
      </c>
      <c r="M40" s="104">
        <f>IFERROR(M35/M31,0)</f>
        <v>5.6675735000000033E-2</v>
      </c>
      <c r="W40" s="56">
        <v>23</v>
      </c>
      <c r="X40" s="57">
        <f t="shared" si="0"/>
        <v>19.166666666666668</v>
      </c>
      <c r="Y40" s="58">
        <f t="shared" si="1"/>
        <v>0</v>
      </c>
      <c r="Z40" s="52"/>
    </row>
    <row r="41" spans="3:26" ht="30.95">
      <c r="C41" s="47" t="s">
        <v>130</v>
      </c>
      <c r="D41" s="132">
        <f t="array" ref="D41">+SUMPRODUCT(D37:E37*D38:E38)</f>
        <v>629.93000000000006</v>
      </c>
      <c r="E41" s="132"/>
      <c r="H41" s="95" t="s">
        <v>131</v>
      </c>
      <c r="I41" s="27">
        <f>IFERROR(IF(M46&lt;0, 0,(((I39*I40)/I18)/1000)*I15),0)</f>
        <v>2380.9523809523812</v>
      </c>
      <c r="N41" s="68"/>
      <c r="O41" s="68"/>
      <c r="P41" s="68"/>
      <c r="Q41" s="68"/>
      <c r="R41" s="68"/>
      <c r="S41" s="68"/>
      <c r="T41" s="68"/>
      <c r="U41" s="69"/>
      <c r="W41" s="56">
        <v>24</v>
      </c>
      <c r="X41" s="57">
        <f t="shared" si="0"/>
        <v>20</v>
      </c>
      <c r="Y41" s="58">
        <f t="shared" si="1"/>
        <v>0</v>
      </c>
      <c r="Z41" s="52"/>
    </row>
    <row r="42" spans="3:26" ht="20.25" customHeight="1">
      <c r="C42" s="47" t="s">
        <v>132</v>
      </c>
      <c r="D42" s="132">
        <f t="array" ref="D42">+SUMPRODUCT(D37:E37*D39:E39)</f>
        <v>161</v>
      </c>
      <c r="E42" s="132"/>
      <c r="N42" s="68"/>
      <c r="O42" s="68"/>
      <c r="P42" s="68"/>
      <c r="Q42" s="68"/>
      <c r="R42" s="68"/>
      <c r="S42" s="68"/>
      <c r="T42" s="68"/>
      <c r="U42" s="70"/>
      <c r="W42" s="56">
        <v>25</v>
      </c>
      <c r="X42" s="57">
        <f t="shared" si="0"/>
        <v>20.833333333333336</v>
      </c>
      <c r="Y42" s="58">
        <f t="shared" si="1"/>
        <v>0</v>
      </c>
      <c r="Z42" s="52"/>
    </row>
    <row r="43" spans="3:26" ht="14.45">
      <c r="C43" s="47" t="s">
        <v>133</v>
      </c>
      <c r="D43" s="132">
        <f>+D41-D42</f>
        <v>468.93000000000006</v>
      </c>
      <c r="E43" s="132"/>
      <c r="N43" s="68"/>
      <c r="O43" s="68"/>
      <c r="P43" s="68"/>
      <c r="Q43" s="68"/>
      <c r="R43" s="68"/>
      <c r="S43" s="68"/>
      <c r="T43" s="68"/>
      <c r="U43" s="70"/>
      <c r="W43" s="56">
        <v>26</v>
      </c>
      <c r="X43" s="57">
        <f t="shared" si="0"/>
        <v>21.666666666666668</v>
      </c>
      <c r="Y43" s="58">
        <f t="shared" si="1"/>
        <v>0</v>
      </c>
      <c r="Z43" s="52"/>
    </row>
    <row r="44" spans="3:26" ht="14.45">
      <c r="N44" s="68"/>
      <c r="O44" s="68"/>
      <c r="P44" s="68"/>
      <c r="Q44" s="68"/>
      <c r="R44" s="68"/>
      <c r="S44" s="68"/>
      <c r="T44" s="68"/>
      <c r="U44" s="70"/>
      <c r="W44" s="56">
        <v>27</v>
      </c>
      <c r="X44" s="57">
        <f t="shared" si="0"/>
        <v>22.5</v>
      </c>
      <c r="Y44" s="58">
        <f t="shared" si="1"/>
        <v>0</v>
      </c>
      <c r="Z44" s="52"/>
    </row>
    <row r="45" spans="3:26" ht="18.600000000000001">
      <c r="C45" s="127" t="s">
        <v>134</v>
      </c>
      <c r="D45" s="127"/>
      <c r="H45" s="127" t="s">
        <v>135</v>
      </c>
      <c r="I45" s="127"/>
      <c r="L45" s="130" t="s">
        <v>136</v>
      </c>
      <c r="M45" s="130"/>
      <c r="N45" s="68"/>
      <c r="O45" s="68"/>
      <c r="P45" s="68"/>
      <c r="Q45" s="68"/>
      <c r="R45" s="68"/>
      <c r="S45" s="68"/>
      <c r="T45" s="68"/>
      <c r="U45" s="70"/>
      <c r="W45" s="56">
        <v>28</v>
      </c>
      <c r="X45" s="57">
        <f t="shared" si="0"/>
        <v>23.333333333333336</v>
      </c>
      <c r="Y45" s="58">
        <f t="shared" si="1"/>
        <v>0</v>
      </c>
      <c r="Z45" s="52"/>
    </row>
    <row r="46" spans="3:26" ht="17.45">
      <c r="C46" s="44" t="s">
        <v>137</v>
      </c>
      <c r="D46" s="28">
        <v>0</v>
      </c>
      <c r="E46" s="59">
        <f>M14/I25</f>
        <v>38.988999999999997</v>
      </c>
      <c r="F46" s="49" t="s">
        <v>138</v>
      </c>
      <c r="H46" s="89" t="s">
        <v>139</v>
      </c>
      <c r="I46" s="94">
        <v>667</v>
      </c>
      <c r="L46" s="43" t="s">
        <v>140</v>
      </c>
      <c r="M46" s="96">
        <f>IFERROR(IF(D49=W15,((M19-M30)/I32)/(1+D19),(M19-M30)/I32),0)</f>
        <v>25.754184166666668</v>
      </c>
      <c r="N46" s="68"/>
      <c r="O46" s="68"/>
      <c r="P46" s="68"/>
      <c r="Q46" s="68"/>
      <c r="R46" s="68"/>
      <c r="S46" s="68"/>
      <c r="T46" s="68"/>
      <c r="U46" s="71"/>
      <c r="W46" s="56">
        <v>29</v>
      </c>
      <c r="X46" s="57">
        <f t="shared" si="0"/>
        <v>24.166666666666668</v>
      </c>
      <c r="Y46" s="58">
        <f t="shared" si="1"/>
        <v>0</v>
      </c>
      <c r="Z46" s="52"/>
    </row>
    <row r="47" spans="3:26" ht="18.600000000000001">
      <c r="C47" s="44" t="s">
        <v>141</v>
      </c>
      <c r="D47" s="28">
        <f>+D46/(1+D19)</f>
        <v>0</v>
      </c>
      <c r="E47" s="59">
        <f>M17/I32</f>
        <v>44.98833333333333</v>
      </c>
      <c r="F47" s="49" t="s">
        <v>142</v>
      </c>
      <c r="G47" s="72"/>
      <c r="H47" s="89" t="s">
        <v>143</v>
      </c>
      <c r="I47" s="94">
        <v>600</v>
      </c>
      <c r="J47" s="72"/>
      <c r="L47" s="43" t="s">
        <v>144</v>
      </c>
      <c r="M47" s="97">
        <f>IFERROR(IF(M46&lt;0,0,ROUNDUP((M31+M33+M34)/M46,0)),0)</f>
        <v>40</v>
      </c>
      <c r="N47" s="72"/>
      <c r="O47" s="72"/>
      <c r="P47" s="72"/>
      <c r="Q47" s="72"/>
      <c r="R47" s="72"/>
      <c r="S47" s="72"/>
      <c r="T47" s="72"/>
      <c r="W47" s="56">
        <v>30</v>
      </c>
      <c r="X47" s="57">
        <f t="shared" si="0"/>
        <v>25</v>
      </c>
      <c r="Y47" s="58">
        <f t="shared" si="1"/>
        <v>0</v>
      </c>
      <c r="Z47" s="52"/>
    </row>
    <row r="48" spans="3:26" ht="19.5" customHeight="1">
      <c r="C48" s="44" t="s">
        <v>145</v>
      </c>
      <c r="D48" s="28">
        <f>+D47*D19</f>
        <v>0</v>
      </c>
      <c r="G48" s="72"/>
      <c r="H48" s="89" t="s">
        <v>146</v>
      </c>
      <c r="I48" s="94">
        <v>6</v>
      </c>
      <c r="L48" s="43" t="s">
        <v>147</v>
      </c>
      <c r="M48" s="96">
        <f>+M47*D46</f>
        <v>0</v>
      </c>
      <c r="N48" s="72"/>
      <c r="O48" s="72"/>
      <c r="P48" s="72"/>
      <c r="Q48" s="72"/>
      <c r="R48" s="72"/>
      <c r="S48" s="72"/>
      <c r="T48" s="72"/>
    </row>
    <row r="49" spans="2:37" ht="16.5" customHeight="1">
      <c r="C49" s="44" t="s">
        <v>148</v>
      </c>
      <c r="D49" s="37" t="s">
        <v>66</v>
      </c>
      <c r="F49" s="29"/>
      <c r="G49" s="72"/>
      <c r="L49" s="43" t="s">
        <v>149</v>
      </c>
      <c r="M49" s="96">
        <f>IFERROR(M31/M47,0)</f>
        <v>25</v>
      </c>
      <c r="N49" s="72"/>
      <c r="O49" s="72"/>
      <c r="P49" s="72"/>
      <c r="Q49" s="72"/>
      <c r="R49" s="72"/>
      <c r="S49" s="72"/>
      <c r="T49" s="72"/>
    </row>
    <row r="50" spans="2:37" ht="16.350000000000001" customHeight="1">
      <c r="F50" s="73"/>
      <c r="G50" s="74"/>
      <c r="H50" s="89" t="s">
        <v>47</v>
      </c>
      <c r="I50" s="30">
        <f>+I47/I46</f>
        <v>0.8995502248875562</v>
      </c>
      <c r="K50" s="72"/>
      <c r="L50" s="43" t="s">
        <v>150</v>
      </c>
      <c r="M50" s="98">
        <f>IFERROR(M48/M31,0)</f>
        <v>0</v>
      </c>
      <c r="N50" s="72"/>
      <c r="O50" s="72"/>
      <c r="P50" s="72"/>
      <c r="Q50" s="72"/>
      <c r="R50" s="72"/>
      <c r="S50" s="72"/>
      <c r="T50" s="72"/>
    </row>
    <row r="51" spans="2:37" ht="15.6">
      <c r="G51" s="72"/>
      <c r="H51" s="89" t="s">
        <v>151</v>
      </c>
      <c r="I51" s="30">
        <f>+I48/I47</f>
        <v>0.01</v>
      </c>
      <c r="K51" s="72"/>
      <c r="N51" s="72"/>
      <c r="O51" s="72"/>
      <c r="P51" s="72"/>
      <c r="Q51" s="72"/>
      <c r="R51" s="72"/>
      <c r="S51" s="72"/>
      <c r="T51" s="72"/>
    </row>
    <row r="52" spans="2:37" ht="12" customHeight="1">
      <c r="G52" s="63"/>
    </row>
    <row r="53" spans="2:37" ht="12" customHeight="1">
      <c r="E53" s="75"/>
    </row>
    <row r="54" spans="2:37" ht="12" customHeight="1"/>
    <row r="55" spans="2:37" ht="12" customHeight="1">
      <c r="F55" s="65"/>
    </row>
    <row r="56" spans="2:37" ht="12" customHeight="1"/>
    <row r="57" spans="2:37" ht="12" customHeight="1"/>
    <row r="58" spans="2:37" ht="12" customHeight="1"/>
    <row r="59" spans="2:37" ht="12" customHeight="1"/>
    <row r="60" spans="2:37" ht="12" customHeight="1">
      <c r="B60" s="76"/>
      <c r="N60" s="77"/>
      <c r="O60" s="77"/>
      <c r="P60" s="77"/>
      <c r="Q60" s="77"/>
      <c r="R60" s="77"/>
      <c r="S60" s="77"/>
      <c r="T60" s="77"/>
    </row>
    <row r="61" spans="2:37" ht="12" customHeight="1">
      <c r="B61" s="76"/>
      <c r="N61" s="77"/>
      <c r="O61" s="77"/>
      <c r="P61" s="77"/>
      <c r="Q61" s="77"/>
      <c r="R61" s="77"/>
      <c r="S61" s="77"/>
      <c r="T61" s="77"/>
    </row>
    <row r="62" spans="2:37" ht="12" customHeight="1">
      <c r="B62" s="51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</row>
    <row r="63" spans="2:37" ht="12" customHeight="1">
      <c r="B63" s="76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</row>
    <row r="64" spans="2:37" ht="12" customHeight="1">
      <c r="B64" s="51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</row>
    <row r="65" spans="2:37" ht="12" customHeight="1">
      <c r="B65" s="76"/>
      <c r="N65" s="78"/>
      <c r="O65" s="78"/>
      <c r="P65" s="78"/>
      <c r="Q65" s="78"/>
      <c r="R65" s="78"/>
      <c r="S65" s="78"/>
      <c r="T65" s="78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</row>
    <row r="66" spans="2:37" ht="12" customHeight="1">
      <c r="B66" s="76"/>
      <c r="F66" s="60"/>
      <c r="N66" s="79"/>
      <c r="O66" s="79"/>
      <c r="P66" s="79"/>
      <c r="Q66" s="79"/>
      <c r="R66" s="79"/>
      <c r="S66" s="79"/>
      <c r="T66" s="79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</row>
    <row r="67" spans="2:37" ht="12" customHeight="1">
      <c r="B67" s="76"/>
      <c r="F67" s="80"/>
      <c r="N67" s="81"/>
      <c r="O67" s="81"/>
      <c r="P67" s="81"/>
      <c r="Q67" s="81"/>
      <c r="R67" s="81"/>
      <c r="S67" s="81"/>
      <c r="T67" s="81"/>
      <c r="U67" s="78"/>
      <c r="V67" s="78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</row>
    <row r="68" spans="2:37" ht="12" customHeight="1">
      <c r="B68" s="76"/>
      <c r="N68" s="77"/>
      <c r="O68" s="77"/>
      <c r="P68" s="77"/>
      <c r="Q68" s="77"/>
      <c r="R68" s="77"/>
      <c r="S68" s="77"/>
      <c r="T68" s="77"/>
      <c r="U68" s="79"/>
      <c r="V68" s="79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</row>
    <row r="69" spans="2:37" ht="12" customHeight="1">
      <c r="B69" s="51"/>
      <c r="N69" s="77"/>
      <c r="O69" s="77"/>
      <c r="P69" s="77"/>
      <c r="Q69" s="77"/>
      <c r="R69" s="77"/>
      <c r="S69" s="77"/>
      <c r="T69" s="77"/>
      <c r="U69" s="82"/>
      <c r="V69" s="82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</row>
    <row r="70" spans="2:37" ht="12" customHeight="1">
      <c r="B70" s="51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</row>
    <row r="71" spans="2:37" ht="12" customHeight="1"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</row>
    <row r="72" spans="2:37" ht="12" customHeight="1"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</row>
    <row r="73" spans="2:37" ht="12" customHeight="1">
      <c r="E73" s="51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</row>
    <row r="74" spans="2:37" ht="12" customHeight="1">
      <c r="E74" s="51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</row>
    <row r="75" spans="2:37" ht="12" customHeight="1">
      <c r="E75" s="51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</row>
    <row r="76" spans="2:37" ht="12" customHeight="1">
      <c r="E76" s="51"/>
    </row>
    <row r="77" spans="2:37" ht="12" customHeight="1">
      <c r="E77" s="51"/>
      <c r="H77" s="72"/>
    </row>
    <row r="78" spans="2:37" ht="12" customHeight="1">
      <c r="E78" s="51"/>
    </row>
    <row r="79" spans="2:37" ht="12" customHeight="1">
      <c r="E79" s="51"/>
    </row>
    <row r="80" spans="2:37" ht="12" customHeight="1">
      <c r="E80" s="51"/>
    </row>
    <row r="81" spans="5:5" ht="12" customHeight="1">
      <c r="E81" s="51"/>
    </row>
    <row r="82" spans="5:5" ht="12" customHeight="1">
      <c r="E82" s="51"/>
    </row>
    <row r="83" spans="5:5" ht="12" customHeight="1">
      <c r="E83" s="51"/>
    </row>
    <row r="84" spans="5:5" ht="12" customHeight="1">
      <c r="E84" s="51"/>
    </row>
    <row r="85" spans="5:5" ht="12" customHeight="1">
      <c r="E85" s="51"/>
    </row>
    <row r="86" spans="5:5" ht="12" customHeight="1">
      <c r="E86" s="51"/>
    </row>
    <row r="87" spans="5:5" ht="12" customHeight="1">
      <c r="E87" s="51"/>
    </row>
    <row r="88" spans="5:5" ht="12" customHeight="1">
      <c r="E88" s="51"/>
    </row>
    <row r="89" spans="5:5" ht="12" customHeight="1">
      <c r="E89" s="51"/>
    </row>
    <row r="90" spans="5:5" ht="12" customHeight="1">
      <c r="E90" s="51"/>
    </row>
    <row r="91" spans="5:5" ht="12" customHeight="1">
      <c r="E91" s="51"/>
    </row>
    <row r="92" spans="5:5" ht="12" customHeight="1">
      <c r="E92" s="51"/>
    </row>
    <row r="93" spans="5:5" ht="12" customHeight="1">
      <c r="E93" s="51"/>
    </row>
    <row r="94" spans="5:5" ht="12" customHeight="1">
      <c r="E94" s="51"/>
    </row>
    <row r="95" spans="5:5" ht="12" customHeight="1">
      <c r="E95" s="51"/>
    </row>
    <row r="96" spans="5:5" ht="12" customHeight="1">
      <c r="E96" s="51"/>
    </row>
    <row r="97" spans="5:5" ht="12" customHeight="1">
      <c r="E97" s="51"/>
    </row>
    <row r="98" spans="5:5" ht="12" customHeight="1">
      <c r="E98" s="51"/>
    </row>
    <row r="99" spans="5:5" ht="12" customHeight="1">
      <c r="E99" s="51"/>
    </row>
    <row r="100" spans="5:5" ht="12" customHeight="1">
      <c r="E100" s="51"/>
    </row>
    <row r="101" spans="5:5" ht="12" customHeight="1">
      <c r="E101" s="51"/>
    </row>
    <row r="102" spans="5:5" ht="12" customHeight="1">
      <c r="E102" s="51"/>
    </row>
    <row r="103" spans="5:5" ht="12" customHeight="1">
      <c r="E103" s="51"/>
    </row>
    <row r="104" spans="5:5" ht="12" customHeight="1">
      <c r="E104" s="51"/>
    </row>
    <row r="105" spans="5:5" ht="12" customHeight="1">
      <c r="E105" s="51"/>
    </row>
    <row r="106" spans="5:5" ht="12" customHeight="1">
      <c r="E106" s="51"/>
    </row>
    <row r="107" spans="5:5" ht="12" customHeight="1">
      <c r="E107" s="51"/>
    </row>
    <row r="108" spans="5:5" ht="12" customHeight="1">
      <c r="E108" s="51"/>
    </row>
    <row r="109" spans="5:5" ht="12" customHeight="1">
      <c r="E109" s="51"/>
    </row>
    <row r="110" spans="5:5" ht="12" customHeight="1">
      <c r="E110" s="51"/>
    </row>
    <row r="111" spans="5:5" ht="12" customHeight="1">
      <c r="E111" s="51"/>
    </row>
    <row r="112" spans="5:5" ht="12" customHeight="1">
      <c r="E112" s="51"/>
    </row>
    <row r="113" spans="5:5" ht="12" customHeight="1">
      <c r="E113" s="51"/>
    </row>
    <row r="114" spans="5:5" ht="12" customHeight="1">
      <c r="E114" s="51"/>
    </row>
    <row r="115" spans="5:5" ht="12" customHeight="1">
      <c r="E115" s="51"/>
    </row>
    <row r="116" spans="5:5" ht="12" customHeight="1">
      <c r="E116" s="51"/>
    </row>
    <row r="117" spans="5:5" ht="12" customHeight="1">
      <c r="E117" s="51"/>
    </row>
    <row r="118" spans="5:5" ht="12" customHeight="1">
      <c r="E118" s="51"/>
    </row>
    <row r="119" spans="5:5" ht="12" customHeight="1">
      <c r="E119" s="51"/>
    </row>
    <row r="120" spans="5:5" ht="12" customHeight="1">
      <c r="E120" s="51"/>
    </row>
    <row r="121" spans="5:5" ht="12" customHeight="1">
      <c r="E121" s="51"/>
    </row>
    <row r="122" spans="5:5" ht="12" customHeight="1">
      <c r="E122" s="51"/>
    </row>
    <row r="123" spans="5:5" ht="12" customHeight="1">
      <c r="E123" s="51"/>
    </row>
    <row r="124" spans="5:5" ht="12" customHeight="1">
      <c r="E124" s="51"/>
    </row>
    <row r="125" spans="5:5" ht="12" customHeight="1">
      <c r="E125" s="51"/>
    </row>
    <row r="126" spans="5:5" ht="12" customHeight="1">
      <c r="E126" s="51"/>
    </row>
    <row r="127" spans="5:5" ht="12" customHeight="1">
      <c r="E127" s="51"/>
    </row>
    <row r="128" spans="5:5" ht="12" customHeight="1">
      <c r="E128" s="51"/>
    </row>
    <row r="129" spans="5:5" ht="12" customHeight="1">
      <c r="E129" s="51"/>
    </row>
    <row r="130" spans="5:5" ht="12" customHeight="1">
      <c r="E130" s="51"/>
    </row>
    <row r="131" spans="5:5" ht="12" customHeight="1">
      <c r="E131" s="51"/>
    </row>
    <row r="132" spans="5:5" ht="12" customHeight="1">
      <c r="E132" s="51"/>
    </row>
    <row r="133" spans="5:5" ht="12" customHeight="1">
      <c r="E133" s="51"/>
    </row>
    <row r="134" spans="5:5" ht="12" customHeight="1">
      <c r="E134" s="51"/>
    </row>
    <row r="135" spans="5:5" ht="12" customHeight="1">
      <c r="E135" s="51"/>
    </row>
    <row r="136" spans="5:5" ht="12" customHeight="1">
      <c r="E136" s="51"/>
    </row>
    <row r="137" spans="5:5" ht="12" customHeight="1">
      <c r="E137" s="51"/>
    </row>
    <row r="138" spans="5:5" ht="12" customHeight="1">
      <c r="E138" s="51"/>
    </row>
    <row r="139" spans="5:5" ht="12" customHeight="1">
      <c r="E139" s="51"/>
    </row>
    <row r="140" spans="5:5" ht="12" customHeight="1">
      <c r="E140" s="51"/>
    </row>
    <row r="141" spans="5:5" ht="12" customHeight="1">
      <c r="E141" s="51"/>
    </row>
    <row r="142" spans="5:5" ht="12" customHeight="1">
      <c r="E142" s="51"/>
    </row>
    <row r="143" spans="5:5" ht="12" customHeight="1">
      <c r="E143" s="51"/>
    </row>
    <row r="144" spans="5:5" ht="12" customHeight="1">
      <c r="E144" s="51"/>
    </row>
    <row r="145" spans="5:5" ht="12" customHeight="1">
      <c r="E145" s="51"/>
    </row>
    <row r="146" spans="5:5" ht="12" customHeight="1">
      <c r="E146" s="51"/>
    </row>
    <row r="147" spans="5:5" ht="12" customHeight="1">
      <c r="E147" s="51"/>
    </row>
    <row r="148" spans="5:5" ht="12" customHeight="1">
      <c r="E148" s="51"/>
    </row>
    <row r="149" spans="5:5" ht="12" customHeight="1">
      <c r="E149" s="51"/>
    </row>
    <row r="150" spans="5:5" ht="12" customHeight="1">
      <c r="E150" s="51"/>
    </row>
    <row r="151" spans="5:5" ht="12" customHeight="1">
      <c r="E151" s="51"/>
    </row>
    <row r="152" spans="5:5" ht="12" customHeight="1">
      <c r="E152" s="51"/>
    </row>
    <row r="153" spans="5:5" ht="12" customHeight="1">
      <c r="E153" s="51"/>
    </row>
    <row r="154" spans="5:5" ht="12" customHeight="1">
      <c r="E154" s="51"/>
    </row>
    <row r="155" spans="5:5" ht="12" customHeight="1">
      <c r="E155" s="51"/>
    </row>
    <row r="156" spans="5:5" ht="12" customHeight="1">
      <c r="E156" s="51"/>
    </row>
    <row r="157" spans="5:5" ht="12" customHeight="1">
      <c r="E157" s="51"/>
    </row>
    <row r="158" spans="5:5" ht="12" customHeight="1">
      <c r="E158" s="51"/>
    </row>
    <row r="159" spans="5:5" ht="12" customHeight="1">
      <c r="E159" s="51"/>
    </row>
    <row r="160" spans="5:5" ht="12" customHeight="1">
      <c r="E160" s="51"/>
    </row>
    <row r="161" spans="5:5" ht="12" customHeight="1">
      <c r="E161" s="51"/>
    </row>
    <row r="162" spans="5:5" ht="12" customHeight="1">
      <c r="E162" s="51"/>
    </row>
    <row r="163" spans="5:5" ht="12" customHeight="1">
      <c r="E163" s="51"/>
    </row>
    <row r="164" spans="5:5" ht="12" customHeight="1">
      <c r="E164" s="51"/>
    </row>
    <row r="165" spans="5:5" ht="12" customHeight="1">
      <c r="E165" s="51"/>
    </row>
    <row r="166" spans="5:5" ht="12" customHeight="1">
      <c r="E166" s="51"/>
    </row>
    <row r="167" spans="5:5" ht="12" customHeight="1">
      <c r="E167" s="51"/>
    </row>
    <row r="168" spans="5:5" ht="12" customHeight="1">
      <c r="E168" s="51"/>
    </row>
    <row r="169" spans="5:5" ht="12" customHeight="1">
      <c r="E169" s="51"/>
    </row>
    <row r="170" spans="5:5" ht="12" customHeight="1">
      <c r="E170" s="51"/>
    </row>
    <row r="171" spans="5:5" ht="12" customHeight="1">
      <c r="E171" s="51"/>
    </row>
    <row r="172" spans="5:5" ht="12" customHeight="1">
      <c r="E172" s="51"/>
    </row>
    <row r="173" spans="5:5" ht="12" customHeight="1">
      <c r="E173" s="51"/>
    </row>
    <row r="174" spans="5:5" ht="12" customHeight="1">
      <c r="E174" s="51"/>
    </row>
    <row r="175" spans="5:5" ht="12" customHeight="1">
      <c r="E175" s="51"/>
    </row>
    <row r="176" spans="5:5" ht="12" customHeight="1">
      <c r="E176" s="51"/>
    </row>
    <row r="177" spans="5:5" ht="12" customHeight="1">
      <c r="E177" s="51"/>
    </row>
    <row r="178" spans="5:5" ht="12" customHeight="1">
      <c r="E178" s="51"/>
    </row>
    <row r="179" spans="5:5" ht="12" customHeight="1">
      <c r="E179" s="51"/>
    </row>
    <row r="180" spans="5:5" ht="12" customHeight="1">
      <c r="E180" s="51"/>
    </row>
    <row r="181" spans="5:5" ht="12" customHeight="1">
      <c r="E181" s="51"/>
    </row>
    <row r="182" spans="5:5" ht="12" customHeight="1">
      <c r="E182" s="51"/>
    </row>
    <row r="183" spans="5:5" ht="12" customHeight="1">
      <c r="E183" s="51"/>
    </row>
    <row r="184" spans="5:5" ht="12" customHeight="1">
      <c r="E184" s="51"/>
    </row>
    <row r="185" spans="5:5" ht="12" customHeight="1">
      <c r="E185" s="51"/>
    </row>
    <row r="186" spans="5:5" ht="12" customHeight="1">
      <c r="E186" s="51"/>
    </row>
    <row r="187" spans="5:5" ht="12" customHeight="1">
      <c r="E187" s="51"/>
    </row>
    <row r="188" spans="5:5" ht="12" customHeight="1">
      <c r="E188" s="51"/>
    </row>
    <row r="189" spans="5:5" ht="12" customHeight="1">
      <c r="E189" s="51"/>
    </row>
    <row r="190" spans="5:5" ht="12" customHeight="1">
      <c r="E190" s="51"/>
    </row>
    <row r="191" spans="5:5" ht="12" customHeight="1">
      <c r="E191" s="51"/>
    </row>
    <row r="192" spans="5:5" ht="12" customHeight="1">
      <c r="E192" s="51"/>
    </row>
    <row r="193" spans="5:5" ht="12" customHeight="1">
      <c r="E193" s="51"/>
    </row>
    <row r="194" spans="5:5" ht="12" customHeight="1">
      <c r="E194" s="51"/>
    </row>
    <row r="195" spans="5:5" ht="12" customHeight="1">
      <c r="E195" s="51"/>
    </row>
    <row r="196" spans="5:5" ht="12" customHeight="1">
      <c r="E196" s="51"/>
    </row>
    <row r="197" spans="5:5" ht="12" customHeight="1">
      <c r="E197" s="51"/>
    </row>
    <row r="198" spans="5:5" ht="12" customHeight="1">
      <c r="E198" s="51"/>
    </row>
    <row r="199" spans="5:5" ht="12" customHeight="1">
      <c r="E199" s="51"/>
    </row>
    <row r="200" spans="5:5" ht="12" customHeight="1">
      <c r="E200" s="51"/>
    </row>
    <row r="201" spans="5:5" ht="12" customHeight="1">
      <c r="E201" s="51"/>
    </row>
    <row r="202" spans="5:5" ht="12" customHeight="1">
      <c r="E202" s="51"/>
    </row>
    <row r="203" spans="5:5" ht="12" customHeight="1">
      <c r="E203" s="51"/>
    </row>
    <row r="204" spans="5:5" ht="12" customHeight="1">
      <c r="E204" s="51"/>
    </row>
    <row r="205" spans="5:5" ht="12" customHeight="1">
      <c r="E205" s="51"/>
    </row>
    <row r="206" spans="5:5" ht="12" customHeight="1">
      <c r="E206" s="51"/>
    </row>
    <row r="207" spans="5:5" ht="12" customHeight="1">
      <c r="E207" s="51"/>
    </row>
    <row r="208" spans="5:5" ht="12" customHeight="1">
      <c r="E208" s="51"/>
    </row>
    <row r="209" spans="5:5" ht="12" customHeight="1">
      <c r="E209" s="51"/>
    </row>
    <row r="210" spans="5:5" ht="12" customHeight="1">
      <c r="E210" s="51"/>
    </row>
    <row r="211" spans="5:5" ht="12" customHeight="1">
      <c r="E211" s="51"/>
    </row>
    <row r="212" spans="5:5" ht="12" customHeight="1">
      <c r="E212" s="51"/>
    </row>
    <row r="213" spans="5:5" ht="12" customHeight="1">
      <c r="E213" s="51"/>
    </row>
    <row r="214" spans="5:5" ht="12" customHeight="1">
      <c r="E214" s="51"/>
    </row>
    <row r="215" spans="5:5" ht="12" customHeight="1">
      <c r="E215" s="51"/>
    </row>
    <row r="216" spans="5:5" ht="12" customHeight="1">
      <c r="E216" s="51"/>
    </row>
    <row r="217" spans="5:5" ht="12" customHeight="1">
      <c r="E217" s="51"/>
    </row>
    <row r="218" spans="5:5" ht="12" customHeight="1">
      <c r="E218" s="51"/>
    </row>
    <row r="219" spans="5:5" ht="12" customHeight="1">
      <c r="E219" s="51"/>
    </row>
    <row r="220" spans="5:5" ht="12" customHeight="1">
      <c r="E220" s="51"/>
    </row>
    <row r="221" spans="5:5" ht="12" customHeight="1">
      <c r="E221" s="51"/>
    </row>
    <row r="222" spans="5:5" ht="12" customHeight="1">
      <c r="E222" s="51"/>
    </row>
    <row r="223" spans="5:5" ht="12" customHeight="1">
      <c r="E223" s="51"/>
    </row>
    <row r="224" spans="5:5" ht="12" customHeight="1">
      <c r="E224" s="51"/>
    </row>
    <row r="225" spans="5:5" ht="12" customHeight="1">
      <c r="E225" s="51"/>
    </row>
    <row r="226" spans="5:5" ht="12" customHeight="1">
      <c r="E226" s="51"/>
    </row>
    <row r="227" spans="5:5" ht="12" customHeight="1">
      <c r="E227" s="51"/>
    </row>
    <row r="228" spans="5:5" ht="12" customHeight="1">
      <c r="E228" s="51"/>
    </row>
    <row r="229" spans="5:5" ht="12" customHeight="1">
      <c r="E229" s="51"/>
    </row>
    <row r="230" spans="5:5" ht="12" customHeight="1">
      <c r="E230" s="51"/>
    </row>
    <row r="231" spans="5:5" ht="12" customHeight="1">
      <c r="E231" s="51"/>
    </row>
    <row r="232" spans="5:5" ht="12" customHeight="1">
      <c r="E232" s="51"/>
    </row>
    <row r="233" spans="5:5" ht="12" customHeight="1">
      <c r="E233" s="51"/>
    </row>
    <row r="234" spans="5:5" ht="12" customHeight="1">
      <c r="E234" s="51"/>
    </row>
    <row r="235" spans="5:5" ht="12" customHeight="1">
      <c r="E235" s="51"/>
    </row>
    <row r="236" spans="5:5" ht="12" customHeight="1">
      <c r="E236" s="51"/>
    </row>
    <row r="237" spans="5:5" ht="12" customHeight="1">
      <c r="E237" s="51"/>
    </row>
    <row r="238" spans="5:5" ht="12" customHeight="1">
      <c r="E238" s="51"/>
    </row>
    <row r="239" spans="5:5" ht="12" customHeight="1">
      <c r="E239" s="51"/>
    </row>
    <row r="240" spans="5:5" ht="12" customHeight="1">
      <c r="E240" s="51"/>
    </row>
    <row r="241" spans="5:5" ht="12" customHeight="1">
      <c r="E241" s="51"/>
    </row>
    <row r="242" spans="5:5" ht="12" customHeight="1">
      <c r="E242" s="51"/>
    </row>
    <row r="243" spans="5:5" ht="12" customHeight="1">
      <c r="E243" s="51"/>
    </row>
    <row r="244" spans="5:5" ht="12" customHeight="1">
      <c r="E244" s="51"/>
    </row>
    <row r="245" spans="5:5" ht="12" customHeight="1">
      <c r="E245" s="51"/>
    </row>
    <row r="246" spans="5:5" ht="12" customHeight="1">
      <c r="E246" s="51"/>
    </row>
    <row r="247" spans="5:5" ht="12" customHeight="1">
      <c r="E247" s="51"/>
    </row>
    <row r="248" spans="5:5" ht="12" customHeight="1">
      <c r="E248" s="51"/>
    </row>
    <row r="249" spans="5:5" ht="12" customHeight="1">
      <c r="E249" s="51"/>
    </row>
    <row r="250" spans="5:5" ht="12" customHeight="1">
      <c r="E250" s="51"/>
    </row>
    <row r="251" spans="5:5" ht="12" customHeight="1">
      <c r="E251" s="51"/>
    </row>
    <row r="252" spans="5:5" ht="12" customHeight="1">
      <c r="E252" s="51"/>
    </row>
    <row r="253" spans="5:5" ht="12" customHeight="1">
      <c r="E253" s="51"/>
    </row>
    <row r="254" spans="5:5" ht="12" customHeight="1">
      <c r="E254" s="51"/>
    </row>
    <row r="255" spans="5:5" ht="12" customHeight="1">
      <c r="E255" s="51"/>
    </row>
    <row r="256" spans="5:5" ht="12" customHeight="1">
      <c r="E256" s="51"/>
    </row>
    <row r="257" spans="5:5" ht="12" customHeight="1">
      <c r="E257" s="51"/>
    </row>
    <row r="258" spans="5:5" ht="12" customHeight="1">
      <c r="E258" s="51"/>
    </row>
    <row r="259" spans="5:5" ht="12" customHeight="1">
      <c r="E259" s="51"/>
    </row>
    <row r="260" spans="5:5" ht="12" customHeight="1">
      <c r="E260" s="51"/>
    </row>
    <row r="261" spans="5:5" ht="12" customHeight="1">
      <c r="E261" s="51"/>
    </row>
    <row r="262" spans="5:5" ht="12" customHeight="1">
      <c r="E262" s="51"/>
    </row>
    <row r="263" spans="5:5" ht="12" customHeight="1">
      <c r="E263" s="51"/>
    </row>
    <row r="264" spans="5:5" ht="12" customHeight="1">
      <c r="E264" s="51"/>
    </row>
    <row r="265" spans="5:5" ht="12" customHeight="1">
      <c r="E265" s="51"/>
    </row>
    <row r="266" spans="5:5" ht="12" customHeight="1">
      <c r="E266" s="51"/>
    </row>
    <row r="267" spans="5:5" ht="12" customHeight="1">
      <c r="E267" s="51"/>
    </row>
    <row r="268" spans="5:5" ht="12" customHeight="1">
      <c r="E268" s="51"/>
    </row>
    <row r="269" spans="5:5" ht="12" customHeight="1">
      <c r="E269" s="51"/>
    </row>
    <row r="270" spans="5:5" ht="12" customHeight="1">
      <c r="E270" s="51"/>
    </row>
    <row r="271" spans="5:5" ht="12" customHeight="1">
      <c r="E271" s="51"/>
    </row>
    <row r="272" spans="5:5" ht="12" customHeight="1">
      <c r="E272" s="51"/>
    </row>
    <row r="273" spans="5:5" ht="12" customHeight="1">
      <c r="E273" s="51"/>
    </row>
    <row r="274" spans="5:5" ht="12" customHeight="1">
      <c r="E274" s="51"/>
    </row>
    <row r="275" spans="5:5" ht="12" customHeight="1">
      <c r="E275" s="51"/>
    </row>
    <row r="276" spans="5:5" ht="12" customHeight="1">
      <c r="E276" s="51"/>
    </row>
    <row r="277" spans="5:5" ht="12" customHeight="1">
      <c r="E277" s="51"/>
    </row>
    <row r="278" spans="5:5" ht="12" customHeight="1">
      <c r="E278" s="51"/>
    </row>
    <row r="279" spans="5:5" ht="12" customHeight="1">
      <c r="E279" s="51"/>
    </row>
    <row r="280" spans="5:5" ht="12" customHeight="1">
      <c r="E280" s="51"/>
    </row>
    <row r="281" spans="5:5" ht="12" customHeight="1">
      <c r="E281" s="51"/>
    </row>
    <row r="282" spans="5:5" ht="12" customHeight="1">
      <c r="E282" s="51"/>
    </row>
    <row r="283" spans="5:5" ht="12" customHeight="1">
      <c r="E283" s="51"/>
    </row>
    <row r="284" spans="5:5" ht="12" customHeight="1">
      <c r="E284" s="51"/>
    </row>
    <row r="285" spans="5:5" ht="12" customHeight="1">
      <c r="E285" s="51"/>
    </row>
    <row r="286" spans="5:5" ht="12" customHeight="1">
      <c r="E286" s="51"/>
    </row>
    <row r="287" spans="5:5" ht="12" customHeight="1">
      <c r="E287" s="51"/>
    </row>
    <row r="288" spans="5:5" ht="12" customHeight="1">
      <c r="E288" s="51"/>
    </row>
    <row r="289" spans="5:5" ht="12" customHeight="1">
      <c r="E289" s="51"/>
    </row>
    <row r="290" spans="5:5" ht="12" customHeight="1">
      <c r="E290" s="51"/>
    </row>
    <row r="291" spans="5:5" ht="12" customHeight="1">
      <c r="E291" s="51"/>
    </row>
    <row r="292" spans="5:5" ht="12" customHeight="1">
      <c r="E292" s="51"/>
    </row>
    <row r="293" spans="5:5" ht="12" customHeight="1">
      <c r="E293" s="51"/>
    </row>
    <row r="294" spans="5:5" ht="12" customHeight="1">
      <c r="E294" s="51"/>
    </row>
    <row r="295" spans="5:5" ht="12" customHeight="1">
      <c r="E295" s="51"/>
    </row>
    <row r="296" spans="5:5" ht="12" customHeight="1">
      <c r="E296" s="51"/>
    </row>
    <row r="297" spans="5:5" ht="12" customHeight="1">
      <c r="E297" s="51"/>
    </row>
    <row r="298" spans="5:5" ht="12" customHeight="1">
      <c r="E298" s="51"/>
    </row>
    <row r="299" spans="5:5" ht="12" customHeight="1">
      <c r="E299" s="51"/>
    </row>
    <row r="300" spans="5:5" ht="12" customHeight="1">
      <c r="E300" s="51"/>
    </row>
    <row r="301" spans="5:5" ht="12" customHeight="1">
      <c r="E301" s="51"/>
    </row>
    <row r="302" spans="5:5" ht="12" customHeight="1">
      <c r="E302" s="51"/>
    </row>
    <row r="303" spans="5:5" ht="12" customHeight="1">
      <c r="E303" s="51"/>
    </row>
    <row r="304" spans="5:5" ht="12" customHeight="1">
      <c r="E304" s="51"/>
    </row>
    <row r="305" spans="5:5" ht="12" customHeight="1">
      <c r="E305" s="51"/>
    </row>
    <row r="306" spans="5:5" ht="12" customHeight="1">
      <c r="E306" s="51"/>
    </row>
    <row r="307" spans="5:5" ht="12" customHeight="1">
      <c r="E307" s="51"/>
    </row>
    <row r="308" spans="5:5" ht="12" customHeight="1">
      <c r="E308" s="51"/>
    </row>
    <row r="309" spans="5:5" ht="12" customHeight="1">
      <c r="E309" s="51"/>
    </row>
    <row r="310" spans="5:5" ht="12" customHeight="1">
      <c r="E310" s="51"/>
    </row>
    <row r="311" spans="5:5" ht="12" customHeight="1">
      <c r="E311" s="51"/>
    </row>
    <row r="312" spans="5:5" ht="12" customHeight="1">
      <c r="E312" s="51"/>
    </row>
    <row r="313" spans="5:5" ht="12" customHeight="1">
      <c r="E313" s="51"/>
    </row>
    <row r="314" spans="5:5" ht="12" customHeight="1">
      <c r="E314" s="51"/>
    </row>
    <row r="315" spans="5:5" ht="12" customHeight="1">
      <c r="E315" s="51"/>
    </row>
    <row r="316" spans="5:5" ht="12" customHeight="1">
      <c r="E316" s="51"/>
    </row>
    <row r="317" spans="5:5" ht="12" customHeight="1">
      <c r="E317" s="51"/>
    </row>
    <row r="318" spans="5:5" ht="12" customHeight="1">
      <c r="E318" s="51"/>
    </row>
    <row r="319" spans="5:5" ht="12" customHeight="1">
      <c r="E319" s="51"/>
    </row>
    <row r="320" spans="5:5" ht="12" customHeight="1">
      <c r="E320" s="51"/>
    </row>
    <row r="321" spans="5:5" ht="12" customHeight="1">
      <c r="E321" s="51"/>
    </row>
    <row r="322" spans="5:5" ht="12" customHeight="1">
      <c r="E322" s="51"/>
    </row>
    <row r="323" spans="5:5" ht="12" customHeight="1">
      <c r="E323" s="51"/>
    </row>
    <row r="324" spans="5:5" ht="12" customHeight="1">
      <c r="E324" s="51"/>
    </row>
    <row r="325" spans="5:5" ht="12" customHeight="1">
      <c r="E325" s="51"/>
    </row>
    <row r="326" spans="5:5" ht="12" customHeight="1">
      <c r="E326" s="51"/>
    </row>
    <row r="327" spans="5:5" ht="12" customHeight="1">
      <c r="E327" s="51"/>
    </row>
    <row r="328" spans="5:5" ht="12" customHeight="1">
      <c r="E328" s="51"/>
    </row>
    <row r="329" spans="5:5" ht="12" customHeight="1">
      <c r="E329" s="51"/>
    </row>
    <row r="330" spans="5:5" ht="12" customHeight="1">
      <c r="E330" s="51"/>
    </row>
    <row r="331" spans="5:5" ht="12" customHeight="1">
      <c r="E331" s="51"/>
    </row>
    <row r="332" spans="5:5" ht="12" customHeight="1">
      <c r="E332" s="51"/>
    </row>
    <row r="333" spans="5:5" ht="12" customHeight="1">
      <c r="E333" s="51"/>
    </row>
    <row r="334" spans="5:5" ht="12" customHeight="1">
      <c r="E334" s="51"/>
    </row>
    <row r="335" spans="5:5" ht="12" customHeight="1">
      <c r="E335" s="51"/>
    </row>
    <row r="336" spans="5:5" ht="12" customHeight="1">
      <c r="E336" s="51"/>
    </row>
    <row r="337" spans="5:5" ht="12" customHeight="1">
      <c r="E337" s="51"/>
    </row>
    <row r="338" spans="5:5" ht="12" customHeight="1">
      <c r="E338" s="51"/>
    </row>
    <row r="339" spans="5:5" ht="12" customHeight="1">
      <c r="E339" s="51"/>
    </row>
    <row r="340" spans="5:5" ht="12" customHeight="1">
      <c r="E340" s="51"/>
    </row>
    <row r="341" spans="5:5" ht="12" customHeight="1">
      <c r="E341" s="51"/>
    </row>
    <row r="342" spans="5:5" ht="12" customHeight="1">
      <c r="E342" s="51"/>
    </row>
    <row r="343" spans="5:5" ht="12" customHeight="1">
      <c r="E343" s="51"/>
    </row>
    <row r="344" spans="5:5" ht="12" customHeight="1">
      <c r="E344" s="51"/>
    </row>
    <row r="345" spans="5:5" ht="12" customHeight="1">
      <c r="E345" s="51"/>
    </row>
    <row r="346" spans="5:5" ht="12" customHeight="1">
      <c r="E346" s="51"/>
    </row>
    <row r="347" spans="5:5" ht="12" customHeight="1">
      <c r="E347" s="51"/>
    </row>
    <row r="348" spans="5:5" ht="12" customHeight="1">
      <c r="E348" s="51"/>
    </row>
    <row r="349" spans="5:5" ht="12" customHeight="1">
      <c r="E349" s="51"/>
    </row>
    <row r="350" spans="5:5" ht="12" customHeight="1">
      <c r="E350" s="51"/>
    </row>
    <row r="351" spans="5:5" ht="12" customHeight="1">
      <c r="E351" s="51"/>
    </row>
    <row r="352" spans="5:5" ht="12" customHeight="1">
      <c r="E352" s="51"/>
    </row>
    <row r="353" spans="5:5" ht="12" customHeight="1">
      <c r="E353" s="51"/>
    </row>
    <row r="354" spans="5:5" ht="12" customHeight="1">
      <c r="E354" s="51"/>
    </row>
    <row r="355" spans="5:5" ht="12" customHeight="1">
      <c r="E355" s="51"/>
    </row>
    <row r="356" spans="5:5" ht="12" customHeight="1">
      <c r="E356" s="51"/>
    </row>
    <row r="357" spans="5:5" ht="12" customHeight="1">
      <c r="E357" s="51"/>
    </row>
    <row r="358" spans="5:5" ht="12" customHeight="1">
      <c r="E358" s="51"/>
    </row>
    <row r="359" spans="5:5" ht="12" customHeight="1">
      <c r="E359" s="51"/>
    </row>
    <row r="360" spans="5:5" ht="12" customHeight="1">
      <c r="E360" s="51"/>
    </row>
    <row r="361" spans="5:5" ht="12" customHeight="1">
      <c r="E361" s="51"/>
    </row>
    <row r="362" spans="5:5" ht="12" customHeight="1">
      <c r="E362" s="51"/>
    </row>
    <row r="363" spans="5:5" ht="12" customHeight="1">
      <c r="E363" s="51"/>
    </row>
    <row r="364" spans="5:5" ht="12" customHeight="1">
      <c r="E364" s="51"/>
    </row>
    <row r="365" spans="5:5" ht="12" customHeight="1">
      <c r="E365" s="51"/>
    </row>
    <row r="366" spans="5:5" ht="12" customHeight="1">
      <c r="E366" s="51"/>
    </row>
    <row r="367" spans="5:5" ht="12" customHeight="1">
      <c r="E367" s="51"/>
    </row>
    <row r="368" spans="5:5" ht="12" customHeight="1">
      <c r="E368" s="51"/>
    </row>
    <row r="369" spans="5:5" ht="12" customHeight="1">
      <c r="E369" s="51"/>
    </row>
    <row r="370" spans="5:5" ht="12" customHeight="1">
      <c r="E370" s="51"/>
    </row>
    <row r="371" spans="5:5" ht="12" customHeight="1">
      <c r="E371" s="51"/>
    </row>
    <row r="372" spans="5:5" ht="12" customHeight="1">
      <c r="E372" s="51"/>
    </row>
    <row r="373" spans="5:5" ht="12" customHeight="1">
      <c r="E373" s="51"/>
    </row>
    <row r="374" spans="5:5" ht="12" customHeight="1">
      <c r="E374" s="51"/>
    </row>
    <row r="375" spans="5:5" ht="12" customHeight="1">
      <c r="E375" s="51"/>
    </row>
    <row r="376" spans="5:5" ht="12" customHeight="1">
      <c r="E376" s="51"/>
    </row>
    <row r="377" spans="5:5" ht="12" customHeight="1">
      <c r="E377" s="51"/>
    </row>
    <row r="378" spans="5:5" ht="12" customHeight="1">
      <c r="E378" s="51"/>
    </row>
    <row r="379" spans="5:5" ht="12" customHeight="1">
      <c r="E379" s="51"/>
    </row>
    <row r="380" spans="5:5" ht="12" customHeight="1">
      <c r="E380" s="51"/>
    </row>
    <row r="381" spans="5:5" ht="12" customHeight="1">
      <c r="E381" s="51"/>
    </row>
    <row r="382" spans="5:5" ht="12" customHeight="1">
      <c r="E382" s="51"/>
    </row>
    <row r="383" spans="5:5" ht="12" customHeight="1">
      <c r="E383" s="51"/>
    </row>
    <row r="384" spans="5:5" ht="12" customHeight="1">
      <c r="E384" s="51"/>
    </row>
    <row r="385" spans="5:5" ht="12" customHeight="1">
      <c r="E385" s="51"/>
    </row>
    <row r="386" spans="5:5" ht="12" customHeight="1">
      <c r="E386" s="51"/>
    </row>
    <row r="387" spans="5:5" ht="12" customHeight="1">
      <c r="E387" s="51"/>
    </row>
    <row r="388" spans="5:5" ht="12" customHeight="1">
      <c r="E388" s="51"/>
    </row>
    <row r="389" spans="5:5" ht="12" customHeight="1">
      <c r="E389" s="51"/>
    </row>
    <row r="390" spans="5:5" ht="12" customHeight="1">
      <c r="E390" s="51"/>
    </row>
    <row r="391" spans="5:5" ht="12" customHeight="1">
      <c r="E391" s="51"/>
    </row>
    <row r="392" spans="5:5" ht="12" customHeight="1">
      <c r="E392" s="51"/>
    </row>
    <row r="393" spans="5:5" ht="12" customHeight="1">
      <c r="E393" s="51"/>
    </row>
    <row r="394" spans="5:5" ht="12" customHeight="1">
      <c r="E394" s="51"/>
    </row>
    <row r="395" spans="5:5" ht="12" customHeight="1">
      <c r="E395" s="51"/>
    </row>
    <row r="396" spans="5:5" ht="12" customHeight="1">
      <c r="E396" s="51"/>
    </row>
    <row r="397" spans="5:5" ht="12" customHeight="1">
      <c r="E397" s="51"/>
    </row>
    <row r="398" spans="5:5" ht="12" customHeight="1">
      <c r="E398" s="51"/>
    </row>
    <row r="399" spans="5:5" ht="12" customHeight="1">
      <c r="E399" s="51"/>
    </row>
    <row r="400" spans="5:5" ht="12" customHeight="1">
      <c r="E400" s="51"/>
    </row>
    <row r="401" spans="5:5" ht="12" customHeight="1">
      <c r="E401" s="51"/>
    </row>
    <row r="402" spans="5:5" ht="12" customHeight="1">
      <c r="E402" s="51"/>
    </row>
    <row r="403" spans="5:5" ht="12" customHeight="1">
      <c r="E403" s="51"/>
    </row>
    <row r="404" spans="5:5" ht="12" customHeight="1">
      <c r="E404" s="51"/>
    </row>
    <row r="405" spans="5:5" ht="12" customHeight="1">
      <c r="E405" s="51"/>
    </row>
    <row r="406" spans="5:5" ht="12" customHeight="1">
      <c r="E406" s="51"/>
    </row>
    <row r="407" spans="5:5" ht="12" customHeight="1">
      <c r="E407" s="51"/>
    </row>
    <row r="408" spans="5:5" ht="12" customHeight="1">
      <c r="E408" s="51"/>
    </row>
    <row r="409" spans="5:5" ht="12" customHeight="1">
      <c r="E409" s="51"/>
    </row>
    <row r="410" spans="5:5" ht="12" customHeight="1">
      <c r="E410" s="51"/>
    </row>
    <row r="411" spans="5:5" ht="12" customHeight="1">
      <c r="E411" s="51"/>
    </row>
    <row r="412" spans="5:5" ht="12" customHeight="1">
      <c r="E412" s="51"/>
    </row>
    <row r="413" spans="5:5" ht="12" customHeight="1">
      <c r="E413" s="51"/>
    </row>
    <row r="414" spans="5:5" ht="12" customHeight="1">
      <c r="E414" s="51"/>
    </row>
    <row r="415" spans="5:5" ht="12" customHeight="1">
      <c r="E415" s="51"/>
    </row>
    <row r="416" spans="5:5" ht="12" customHeight="1">
      <c r="E416" s="51"/>
    </row>
    <row r="417" spans="5:5" ht="12" customHeight="1">
      <c r="E417" s="51"/>
    </row>
    <row r="418" spans="5:5" ht="12" customHeight="1">
      <c r="E418" s="51"/>
    </row>
    <row r="419" spans="5:5" ht="12" customHeight="1">
      <c r="E419" s="51"/>
    </row>
    <row r="420" spans="5:5" ht="12" customHeight="1">
      <c r="E420" s="51"/>
    </row>
    <row r="421" spans="5:5" ht="12" customHeight="1">
      <c r="E421" s="51"/>
    </row>
    <row r="422" spans="5:5" ht="12" customHeight="1">
      <c r="E422" s="51"/>
    </row>
    <row r="423" spans="5:5" ht="12" customHeight="1">
      <c r="E423" s="51"/>
    </row>
    <row r="424" spans="5:5" ht="12" customHeight="1">
      <c r="E424" s="51"/>
    </row>
    <row r="425" spans="5:5" ht="12" customHeight="1">
      <c r="E425" s="51"/>
    </row>
    <row r="426" spans="5:5" ht="12" customHeight="1">
      <c r="E426" s="51"/>
    </row>
    <row r="427" spans="5:5" ht="12" customHeight="1">
      <c r="E427" s="51"/>
    </row>
    <row r="428" spans="5:5" ht="12" customHeight="1">
      <c r="E428" s="51"/>
    </row>
    <row r="429" spans="5:5" ht="12" customHeight="1">
      <c r="E429" s="51"/>
    </row>
    <row r="430" spans="5:5" ht="12" customHeight="1">
      <c r="E430" s="51"/>
    </row>
    <row r="431" spans="5:5" ht="12" customHeight="1">
      <c r="E431" s="51"/>
    </row>
    <row r="432" spans="5:5" ht="12" customHeight="1">
      <c r="E432" s="51"/>
    </row>
    <row r="433" spans="5:5" ht="12" customHeight="1">
      <c r="E433" s="51"/>
    </row>
    <row r="434" spans="5:5" ht="12" customHeight="1">
      <c r="E434" s="51"/>
    </row>
    <row r="435" spans="5:5" ht="12" customHeight="1">
      <c r="E435" s="51"/>
    </row>
    <row r="436" spans="5:5" ht="12" customHeight="1">
      <c r="E436" s="51"/>
    </row>
    <row r="437" spans="5:5" ht="12" customHeight="1">
      <c r="E437" s="51"/>
    </row>
    <row r="438" spans="5:5" ht="12" customHeight="1">
      <c r="E438" s="51"/>
    </row>
    <row r="439" spans="5:5" ht="12" customHeight="1">
      <c r="E439" s="51"/>
    </row>
    <row r="440" spans="5:5" ht="12" customHeight="1">
      <c r="E440" s="51"/>
    </row>
    <row r="441" spans="5:5" ht="12" customHeight="1">
      <c r="E441" s="51"/>
    </row>
    <row r="442" spans="5:5" ht="12" customHeight="1">
      <c r="E442" s="51"/>
    </row>
    <row r="443" spans="5:5" ht="12" customHeight="1">
      <c r="E443" s="51"/>
    </row>
    <row r="444" spans="5:5" ht="12" customHeight="1">
      <c r="E444" s="51"/>
    </row>
    <row r="445" spans="5:5" ht="12" customHeight="1">
      <c r="E445" s="51"/>
    </row>
    <row r="446" spans="5:5" ht="12" customHeight="1">
      <c r="E446" s="51"/>
    </row>
    <row r="447" spans="5:5" ht="12" customHeight="1">
      <c r="E447" s="51"/>
    </row>
    <row r="448" spans="5:5" ht="12" customHeight="1">
      <c r="E448" s="51"/>
    </row>
    <row r="449" spans="5:5" ht="12" customHeight="1">
      <c r="E449" s="51"/>
    </row>
    <row r="450" spans="5:5" ht="12" customHeight="1">
      <c r="E450" s="51"/>
    </row>
    <row r="451" spans="5:5" ht="12" customHeight="1">
      <c r="E451" s="51"/>
    </row>
    <row r="452" spans="5:5" ht="12" customHeight="1">
      <c r="E452" s="51"/>
    </row>
    <row r="453" spans="5:5" ht="12" customHeight="1">
      <c r="E453" s="51"/>
    </row>
    <row r="454" spans="5:5" ht="12" customHeight="1">
      <c r="E454" s="51"/>
    </row>
    <row r="455" spans="5:5" ht="12" customHeight="1">
      <c r="E455" s="51"/>
    </row>
    <row r="456" spans="5:5" ht="12" customHeight="1">
      <c r="E456" s="51"/>
    </row>
    <row r="457" spans="5:5" ht="12" customHeight="1">
      <c r="E457" s="51"/>
    </row>
    <row r="458" spans="5:5" ht="12" customHeight="1">
      <c r="E458" s="51"/>
    </row>
    <row r="459" spans="5:5" ht="12" customHeight="1">
      <c r="E459" s="51"/>
    </row>
    <row r="460" spans="5:5" ht="12" customHeight="1">
      <c r="E460" s="51"/>
    </row>
    <row r="461" spans="5:5" ht="12" customHeight="1">
      <c r="E461" s="51"/>
    </row>
    <row r="462" spans="5:5" ht="12" customHeight="1">
      <c r="E462" s="51"/>
    </row>
    <row r="463" spans="5:5" ht="12" customHeight="1">
      <c r="E463" s="51"/>
    </row>
    <row r="464" spans="5:5" ht="12" customHeight="1">
      <c r="E464" s="51"/>
    </row>
    <row r="465" spans="5:5" ht="12" customHeight="1">
      <c r="E465" s="51"/>
    </row>
    <row r="466" spans="5:5" ht="12" customHeight="1">
      <c r="E466" s="51"/>
    </row>
    <row r="467" spans="5:5" ht="12" customHeight="1">
      <c r="E467" s="51"/>
    </row>
    <row r="468" spans="5:5" ht="12" customHeight="1">
      <c r="E468" s="51"/>
    </row>
    <row r="469" spans="5:5" ht="12" customHeight="1">
      <c r="E469" s="51"/>
    </row>
    <row r="470" spans="5:5" ht="12" customHeight="1">
      <c r="E470" s="51"/>
    </row>
    <row r="471" spans="5:5" ht="12" customHeight="1">
      <c r="E471" s="51"/>
    </row>
    <row r="472" spans="5:5" ht="12" customHeight="1">
      <c r="E472" s="51"/>
    </row>
    <row r="473" spans="5:5" ht="12" customHeight="1">
      <c r="E473" s="51"/>
    </row>
    <row r="474" spans="5:5" ht="12" customHeight="1">
      <c r="E474" s="51"/>
    </row>
    <row r="475" spans="5:5" ht="12" customHeight="1">
      <c r="E475" s="51"/>
    </row>
    <row r="476" spans="5:5" ht="12" customHeight="1">
      <c r="E476" s="51"/>
    </row>
    <row r="477" spans="5:5" ht="12" customHeight="1">
      <c r="E477" s="51"/>
    </row>
    <row r="478" spans="5:5" ht="12" customHeight="1">
      <c r="E478" s="51"/>
    </row>
    <row r="479" spans="5:5" ht="12" customHeight="1">
      <c r="E479" s="51"/>
    </row>
    <row r="480" spans="5:5" ht="12" customHeight="1">
      <c r="E480" s="51"/>
    </row>
    <row r="481" spans="5:5" ht="12" customHeight="1">
      <c r="E481" s="51"/>
    </row>
    <row r="482" spans="5:5" ht="12" customHeight="1">
      <c r="E482" s="51"/>
    </row>
    <row r="483" spans="5:5" ht="12" customHeight="1">
      <c r="E483" s="51"/>
    </row>
    <row r="484" spans="5:5" ht="12" customHeight="1">
      <c r="E484" s="51"/>
    </row>
    <row r="485" spans="5:5" ht="12" customHeight="1">
      <c r="E485" s="51"/>
    </row>
    <row r="486" spans="5:5" ht="12" customHeight="1">
      <c r="E486" s="51"/>
    </row>
    <row r="487" spans="5:5" ht="12" customHeight="1">
      <c r="E487" s="51"/>
    </row>
    <row r="488" spans="5:5" ht="12" customHeight="1">
      <c r="E488" s="51"/>
    </row>
    <row r="489" spans="5:5" ht="12" customHeight="1">
      <c r="E489" s="51"/>
    </row>
    <row r="490" spans="5:5" ht="12" customHeight="1">
      <c r="E490" s="51"/>
    </row>
    <row r="491" spans="5:5" ht="12" customHeight="1">
      <c r="E491" s="51"/>
    </row>
    <row r="492" spans="5:5" ht="12" customHeight="1">
      <c r="E492" s="51"/>
    </row>
    <row r="493" spans="5:5" ht="12" customHeight="1">
      <c r="E493" s="51"/>
    </row>
    <row r="494" spans="5:5" ht="12" customHeight="1">
      <c r="E494" s="51"/>
    </row>
    <row r="495" spans="5:5" ht="12" customHeight="1">
      <c r="E495" s="51"/>
    </row>
    <row r="496" spans="5:5" ht="12" customHeight="1">
      <c r="E496" s="51"/>
    </row>
    <row r="497" spans="5:5" ht="12" customHeight="1">
      <c r="E497" s="51"/>
    </row>
    <row r="498" spans="5:5" ht="12" customHeight="1">
      <c r="E498" s="51"/>
    </row>
    <row r="499" spans="5:5" ht="12" customHeight="1">
      <c r="E499" s="51"/>
    </row>
    <row r="500" spans="5:5" ht="12" customHeight="1">
      <c r="E500" s="51"/>
    </row>
    <row r="501" spans="5:5" ht="12" customHeight="1">
      <c r="E501" s="51"/>
    </row>
    <row r="502" spans="5:5" ht="12" customHeight="1">
      <c r="E502" s="51"/>
    </row>
    <row r="503" spans="5:5" ht="12" customHeight="1">
      <c r="E503" s="51"/>
    </row>
    <row r="504" spans="5:5" ht="12" customHeight="1">
      <c r="E504" s="51"/>
    </row>
    <row r="505" spans="5:5" ht="12" customHeight="1">
      <c r="E505" s="51"/>
    </row>
    <row r="506" spans="5:5" ht="12" customHeight="1">
      <c r="E506" s="51"/>
    </row>
    <row r="507" spans="5:5" ht="12" customHeight="1">
      <c r="E507" s="51"/>
    </row>
    <row r="508" spans="5:5" ht="12" customHeight="1">
      <c r="E508" s="51"/>
    </row>
    <row r="509" spans="5:5" ht="12" customHeight="1">
      <c r="E509" s="51"/>
    </row>
    <row r="510" spans="5:5" ht="12" customHeight="1">
      <c r="E510" s="51"/>
    </row>
    <row r="511" spans="5:5" ht="12" customHeight="1">
      <c r="E511" s="51"/>
    </row>
    <row r="512" spans="5:5" ht="12" customHeight="1">
      <c r="E512" s="51"/>
    </row>
    <row r="513" spans="5:5" ht="12" customHeight="1">
      <c r="E513" s="51"/>
    </row>
    <row r="514" spans="5:5" ht="12" customHeight="1">
      <c r="E514" s="51"/>
    </row>
    <row r="515" spans="5:5" ht="12" customHeight="1">
      <c r="E515" s="51"/>
    </row>
    <row r="516" spans="5:5" ht="12" customHeight="1">
      <c r="E516" s="51"/>
    </row>
    <row r="517" spans="5:5" ht="12" customHeight="1">
      <c r="E517" s="51"/>
    </row>
    <row r="518" spans="5:5" ht="12" customHeight="1">
      <c r="E518" s="51"/>
    </row>
    <row r="519" spans="5:5" ht="12" customHeight="1">
      <c r="E519" s="51"/>
    </row>
    <row r="520" spans="5:5" ht="12" customHeight="1">
      <c r="E520" s="51"/>
    </row>
    <row r="521" spans="5:5" ht="12" customHeight="1">
      <c r="E521" s="51"/>
    </row>
    <row r="522" spans="5:5" ht="12" customHeight="1">
      <c r="E522" s="51"/>
    </row>
    <row r="523" spans="5:5" ht="12" customHeight="1">
      <c r="E523" s="51"/>
    </row>
    <row r="524" spans="5:5" ht="12" customHeight="1">
      <c r="E524" s="51"/>
    </row>
    <row r="525" spans="5:5" ht="12" customHeight="1">
      <c r="E525" s="51"/>
    </row>
    <row r="526" spans="5:5" ht="12" customHeight="1">
      <c r="E526" s="51"/>
    </row>
    <row r="527" spans="5:5" ht="12" customHeight="1">
      <c r="E527" s="51"/>
    </row>
    <row r="528" spans="5:5" ht="12" customHeight="1">
      <c r="E528" s="51"/>
    </row>
    <row r="529" spans="5:5" ht="12" customHeight="1">
      <c r="E529" s="51"/>
    </row>
    <row r="530" spans="5:5" ht="12" customHeight="1">
      <c r="E530" s="51"/>
    </row>
    <row r="531" spans="5:5" ht="12" customHeight="1">
      <c r="E531" s="51"/>
    </row>
    <row r="532" spans="5:5" ht="12" customHeight="1">
      <c r="E532" s="51"/>
    </row>
    <row r="533" spans="5:5" ht="12" customHeight="1">
      <c r="E533" s="51"/>
    </row>
    <row r="534" spans="5:5" ht="12" customHeight="1">
      <c r="E534" s="51"/>
    </row>
    <row r="535" spans="5:5" ht="12" customHeight="1">
      <c r="E535" s="51"/>
    </row>
    <row r="536" spans="5:5" ht="12" customHeight="1">
      <c r="E536" s="51"/>
    </row>
    <row r="537" spans="5:5" ht="12" customHeight="1">
      <c r="E537" s="51"/>
    </row>
    <row r="538" spans="5:5" ht="12" customHeight="1">
      <c r="E538" s="51"/>
    </row>
    <row r="539" spans="5:5" ht="12" customHeight="1">
      <c r="E539" s="51"/>
    </row>
    <row r="540" spans="5:5" ht="12" customHeight="1">
      <c r="E540" s="51"/>
    </row>
    <row r="541" spans="5:5" ht="12" customHeight="1">
      <c r="E541" s="51"/>
    </row>
    <row r="542" spans="5:5" ht="12" customHeight="1">
      <c r="E542" s="51"/>
    </row>
    <row r="543" spans="5:5" ht="12" customHeight="1">
      <c r="E543" s="51"/>
    </row>
    <row r="544" spans="5:5" ht="12" customHeight="1">
      <c r="E544" s="51"/>
    </row>
    <row r="545" spans="5:5" ht="12" customHeight="1">
      <c r="E545" s="51"/>
    </row>
    <row r="546" spans="5:5" ht="12" customHeight="1">
      <c r="E546" s="51"/>
    </row>
    <row r="547" spans="5:5" ht="12" customHeight="1">
      <c r="E547" s="51"/>
    </row>
    <row r="548" spans="5:5" ht="12" customHeight="1">
      <c r="E548" s="51"/>
    </row>
    <row r="549" spans="5:5" ht="12" customHeight="1">
      <c r="E549" s="51"/>
    </row>
    <row r="550" spans="5:5" ht="12" customHeight="1">
      <c r="E550" s="51"/>
    </row>
    <row r="551" spans="5:5" ht="12" customHeight="1">
      <c r="E551" s="51"/>
    </row>
    <row r="552" spans="5:5" ht="12" customHeight="1">
      <c r="E552" s="51"/>
    </row>
    <row r="553" spans="5:5" ht="12" customHeight="1">
      <c r="E553" s="51"/>
    </row>
    <row r="554" spans="5:5" ht="12" customHeight="1">
      <c r="E554" s="51"/>
    </row>
    <row r="555" spans="5:5" ht="12" customHeight="1">
      <c r="E555" s="51"/>
    </row>
    <row r="556" spans="5:5" ht="12" customHeight="1">
      <c r="E556" s="51"/>
    </row>
    <row r="557" spans="5:5" ht="12" customHeight="1">
      <c r="E557" s="51"/>
    </row>
    <row r="558" spans="5:5" ht="12" customHeight="1">
      <c r="E558" s="51"/>
    </row>
    <row r="559" spans="5:5" ht="12" customHeight="1">
      <c r="E559" s="51"/>
    </row>
    <row r="560" spans="5:5" ht="12" customHeight="1">
      <c r="E560" s="51"/>
    </row>
    <row r="561" spans="5:5" ht="12" customHeight="1">
      <c r="E561" s="51"/>
    </row>
    <row r="562" spans="5:5" ht="12" customHeight="1">
      <c r="E562" s="51"/>
    </row>
    <row r="563" spans="5:5" ht="12" customHeight="1">
      <c r="E563" s="51"/>
    </row>
    <row r="564" spans="5:5" ht="12" customHeight="1">
      <c r="E564" s="51"/>
    </row>
    <row r="565" spans="5:5" ht="12" customHeight="1">
      <c r="E565" s="51"/>
    </row>
    <row r="566" spans="5:5" ht="12" customHeight="1">
      <c r="E566" s="51"/>
    </row>
    <row r="567" spans="5:5" ht="12" customHeight="1">
      <c r="E567" s="51"/>
    </row>
    <row r="568" spans="5:5" ht="12" customHeight="1">
      <c r="E568" s="51"/>
    </row>
    <row r="569" spans="5:5" ht="12" customHeight="1">
      <c r="E569" s="51"/>
    </row>
    <row r="570" spans="5:5" ht="12" customHeight="1">
      <c r="E570" s="51"/>
    </row>
    <row r="571" spans="5:5" ht="12" customHeight="1">
      <c r="E571" s="51"/>
    </row>
    <row r="572" spans="5:5" ht="12" customHeight="1">
      <c r="E572" s="51"/>
    </row>
    <row r="573" spans="5:5" ht="12" customHeight="1">
      <c r="E573" s="51"/>
    </row>
    <row r="574" spans="5:5" ht="12" customHeight="1">
      <c r="E574" s="51"/>
    </row>
    <row r="575" spans="5:5" ht="12" customHeight="1">
      <c r="E575" s="51"/>
    </row>
    <row r="576" spans="5:5" ht="12" customHeight="1">
      <c r="E576" s="51"/>
    </row>
    <row r="577" spans="5:5" ht="12" customHeight="1">
      <c r="E577" s="51"/>
    </row>
    <row r="578" spans="5:5" ht="12" customHeight="1">
      <c r="E578" s="51"/>
    </row>
    <row r="579" spans="5:5" ht="12" customHeight="1">
      <c r="E579" s="51"/>
    </row>
    <row r="580" spans="5:5" ht="12" customHeight="1">
      <c r="E580" s="51"/>
    </row>
    <row r="581" spans="5:5" ht="12" customHeight="1">
      <c r="E581" s="51"/>
    </row>
    <row r="582" spans="5:5" ht="12" customHeight="1">
      <c r="E582" s="51"/>
    </row>
    <row r="583" spans="5:5" ht="12" customHeight="1">
      <c r="E583" s="51"/>
    </row>
    <row r="584" spans="5:5" ht="12" customHeight="1">
      <c r="E584" s="51"/>
    </row>
    <row r="585" spans="5:5" ht="12" customHeight="1">
      <c r="E585" s="51"/>
    </row>
    <row r="586" spans="5:5" ht="12" customHeight="1">
      <c r="E586" s="51"/>
    </row>
    <row r="587" spans="5:5" ht="12" customHeight="1">
      <c r="E587" s="51"/>
    </row>
    <row r="588" spans="5:5" ht="12" customHeight="1">
      <c r="E588" s="51"/>
    </row>
    <row r="589" spans="5:5" ht="12" customHeight="1">
      <c r="E589" s="51"/>
    </row>
    <row r="590" spans="5:5" ht="12" customHeight="1">
      <c r="E590" s="51"/>
    </row>
    <row r="591" spans="5:5" ht="12" customHeight="1">
      <c r="E591" s="51"/>
    </row>
    <row r="592" spans="5:5" ht="12" customHeight="1">
      <c r="E592" s="51"/>
    </row>
    <row r="593" spans="5:5" ht="12" customHeight="1">
      <c r="E593" s="51"/>
    </row>
    <row r="594" spans="5:5" ht="12" customHeight="1">
      <c r="E594" s="51"/>
    </row>
    <row r="595" spans="5:5" ht="12" customHeight="1">
      <c r="E595" s="51"/>
    </row>
    <row r="596" spans="5:5" ht="12" customHeight="1">
      <c r="E596" s="51"/>
    </row>
    <row r="597" spans="5:5" ht="12" customHeight="1">
      <c r="E597" s="51"/>
    </row>
    <row r="598" spans="5:5" ht="12" customHeight="1">
      <c r="E598" s="51"/>
    </row>
    <row r="599" spans="5:5" ht="12" customHeight="1">
      <c r="E599" s="51"/>
    </row>
    <row r="600" spans="5:5" ht="12" customHeight="1">
      <c r="E600" s="51"/>
    </row>
    <row r="601" spans="5:5" ht="12" customHeight="1">
      <c r="E601" s="51"/>
    </row>
    <row r="602" spans="5:5" ht="12" customHeight="1">
      <c r="E602" s="51"/>
    </row>
    <row r="603" spans="5:5" ht="12" customHeight="1">
      <c r="E603" s="51"/>
    </row>
    <row r="604" spans="5:5" ht="12" customHeight="1">
      <c r="E604" s="51"/>
    </row>
    <row r="605" spans="5:5" ht="12" customHeight="1">
      <c r="E605" s="51"/>
    </row>
    <row r="606" spans="5:5" ht="12" customHeight="1">
      <c r="E606" s="51"/>
    </row>
    <row r="607" spans="5:5" ht="12" customHeight="1">
      <c r="E607" s="51"/>
    </row>
    <row r="608" spans="5:5" ht="12" customHeight="1">
      <c r="E608" s="51"/>
    </row>
    <row r="609" spans="5:5" ht="12" customHeight="1">
      <c r="E609" s="51"/>
    </row>
    <row r="610" spans="5:5" ht="12" customHeight="1">
      <c r="E610" s="51"/>
    </row>
    <row r="611" spans="5:5" ht="12" customHeight="1">
      <c r="E611" s="51"/>
    </row>
    <row r="612" spans="5:5" ht="12" customHeight="1">
      <c r="E612" s="51"/>
    </row>
    <row r="613" spans="5:5" ht="12" customHeight="1">
      <c r="E613" s="51"/>
    </row>
    <row r="614" spans="5:5" ht="12" customHeight="1">
      <c r="E614" s="51"/>
    </row>
    <row r="615" spans="5:5" ht="12" customHeight="1">
      <c r="E615" s="51"/>
    </row>
    <row r="616" spans="5:5" ht="12" customHeight="1">
      <c r="E616" s="51"/>
    </row>
    <row r="617" spans="5:5" ht="12" customHeight="1">
      <c r="E617" s="51"/>
    </row>
    <row r="618" spans="5:5" ht="12" customHeight="1">
      <c r="E618" s="51"/>
    </row>
    <row r="619" spans="5:5" ht="12" customHeight="1">
      <c r="E619" s="51"/>
    </row>
    <row r="620" spans="5:5" ht="12" customHeight="1">
      <c r="E620" s="51"/>
    </row>
    <row r="621" spans="5:5" ht="12" customHeight="1">
      <c r="E621" s="51"/>
    </row>
    <row r="622" spans="5:5" ht="12" customHeight="1">
      <c r="E622" s="51"/>
    </row>
    <row r="623" spans="5:5" ht="12" customHeight="1">
      <c r="E623" s="51"/>
    </row>
    <row r="624" spans="5:5" ht="12" customHeight="1">
      <c r="E624" s="51"/>
    </row>
    <row r="625" spans="5:5" ht="12" customHeight="1">
      <c r="E625" s="51"/>
    </row>
    <row r="626" spans="5:5" ht="12" customHeight="1">
      <c r="E626" s="51"/>
    </row>
    <row r="627" spans="5:5" ht="12" customHeight="1">
      <c r="E627" s="51"/>
    </row>
    <row r="628" spans="5:5" ht="12" customHeight="1">
      <c r="E628" s="51"/>
    </row>
    <row r="629" spans="5:5" ht="12" customHeight="1">
      <c r="E629" s="51"/>
    </row>
    <row r="630" spans="5:5" ht="12" customHeight="1">
      <c r="E630" s="51"/>
    </row>
    <row r="631" spans="5:5" ht="12" customHeight="1">
      <c r="E631" s="51"/>
    </row>
    <row r="632" spans="5:5" ht="12" customHeight="1">
      <c r="E632" s="51"/>
    </row>
    <row r="633" spans="5:5" ht="12" customHeight="1">
      <c r="E633" s="51"/>
    </row>
    <row r="634" spans="5:5" ht="12" customHeight="1">
      <c r="E634" s="51"/>
    </row>
    <row r="635" spans="5:5" ht="12" customHeight="1">
      <c r="E635" s="51"/>
    </row>
    <row r="636" spans="5:5" ht="12" customHeight="1">
      <c r="E636" s="51"/>
    </row>
    <row r="637" spans="5:5" ht="12" customHeight="1">
      <c r="E637" s="51"/>
    </row>
    <row r="638" spans="5:5" ht="12" customHeight="1">
      <c r="E638" s="51"/>
    </row>
    <row r="639" spans="5:5" ht="12" customHeight="1">
      <c r="E639" s="51"/>
    </row>
    <row r="640" spans="5:5" ht="12" customHeight="1">
      <c r="E640" s="51"/>
    </row>
    <row r="641" spans="5:5" ht="12" customHeight="1">
      <c r="E641" s="51"/>
    </row>
    <row r="642" spans="5:5" ht="12" customHeight="1">
      <c r="E642" s="51"/>
    </row>
    <row r="643" spans="5:5" ht="12" customHeight="1">
      <c r="E643" s="51"/>
    </row>
    <row r="644" spans="5:5" ht="12" customHeight="1">
      <c r="E644" s="51"/>
    </row>
    <row r="645" spans="5:5" ht="12" customHeight="1">
      <c r="E645" s="51"/>
    </row>
    <row r="646" spans="5:5" ht="12" customHeight="1">
      <c r="E646" s="51"/>
    </row>
    <row r="647" spans="5:5" ht="12" customHeight="1">
      <c r="E647" s="51"/>
    </row>
    <row r="648" spans="5:5" ht="12" customHeight="1">
      <c r="E648" s="51"/>
    </row>
    <row r="649" spans="5:5" ht="12" customHeight="1">
      <c r="E649" s="51"/>
    </row>
    <row r="650" spans="5:5" ht="12" customHeight="1">
      <c r="E650" s="51"/>
    </row>
    <row r="651" spans="5:5" ht="12" customHeight="1">
      <c r="E651" s="51"/>
    </row>
    <row r="652" spans="5:5" ht="12" customHeight="1">
      <c r="E652" s="51"/>
    </row>
    <row r="653" spans="5:5" ht="12" customHeight="1">
      <c r="E653" s="51"/>
    </row>
    <row r="654" spans="5:5" ht="12" customHeight="1">
      <c r="E654" s="51"/>
    </row>
    <row r="655" spans="5:5" ht="12" customHeight="1">
      <c r="E655" s="51"/>
    </row>
    <row r="656" spans="5:5" ht="12" customHeight="1">
      <c r="E656" s="51"/>
    </row>
    <row r="657" spans="5:5" ht="12" customHeight="1">
      <c r="E657" s="51"/>
    </row>
    <row r="658" spans="5:5" ht="12" customHeight="1">
      <c r="E658" s="51"/>
    </row>
    <row r="659" spans="5:5" ht="12" customHeight="1">
      <c r="E659" s="51"/>
    </row>
    <row r="660" spans="5:5" ht="12" customHeight="1">
      <c r="E660" s="51"/>
    </row>
    <row r="661" spans="5:5" ht="12" customHeight="1">
      <c r="E661" s="51"/>
    </row>
    <row r="662" spans="5:5" ht="12" customHeight="1">
      <c r="E662" s="51"/>
    </row>
    <row r="663" spans="5:5" ht="12" customHeight="1">
      <c r="E663" s="51"/>
    </row>
    <row r="664" spans="5:5" ht="12" customHeight="1">
      <c r="E664" s="51"/>
    </row>
    <row r="665" spans="5:5" ht="12" customHeight="1">
      <c r="E665" s="51"/>
    </row>
    <row r="666" spans="5:5" ht="12" customHeight="1">
      <c r="E666" s="51"/>
    </row>
    <row r="667" spans="5:5" ht="12" customHeight="1">
      <c r="E667" s="51"/>
    </row>
    <row r="668" spans="5:5" ht="12" customHeight="1">
      <c r="E668" s="51"/>
    </row>
    <row r="669" spans="5:5" ht="12" customHeight="1">
      <c r="E669" s="51"/>
    </row>
    <row r="670" spans="5:5" ht="12" customHeight="1">
      <c r="E670" s="51"/>
    </row>
    <row r="671" spans="5:5" ht="12" customHeight="1">
      <c r="E671" s="51"/>
    </row>
    <row r="672" spans="5:5" ht="12" customHeight="1">
      <c r="E672" s="51"/>
    </row>
    <row r="673" spans="5:5" ht="12" customHeight="1">
      <c r="E673" s="51"/>
    </row>
    <row r="674" spans="5:5" ht="12" customHeight="1">
      <c r="E674" s="51"/>
    </row>
    <row r="675" spans="5:5" ht="12" customHeight="1">
      <c r="E675" s="51"/>
    </row>
    <row r="676" spans="5:5" ht="12" customHeight="1">
      <c r="E676" s="51"/>
    </row>
    <row r="677" spans="5:5" ht="12" customHeight="1">
      <c r="E677" s="51"/>
    </row>
    <row r="678" spans="5:5" ht="12" customHeight="1">
      <c r="E678" s="51"/>
    </row>
    <row r="679" spans="5:5" ht="12" customHeight="1">
      <c r="E679" s="51"/>
    </row>
    <row r="680" spans="5:5" ht="12" customHeight="1">
      <c r="E680" s="51"/>
    </row>
    <row r="681" spans="5:5" ht="12" customHeight="1">
      <c r="E681" s="51"/>
    </row>
    <row r="682" spans="5:5" ht="12" customHeight="1">
      <c r="E682" s="51"/>
    </row>
    <row r="683" spans="5:5" ht="12" customHeight="1">
      <c r="E683" s="51"/>
    </row>
    <row r="684" spans="5:5" ht="12" customHeight="1">
      <c r="E684" s="51"/>
    </row>
    <row r="685" spans="5:5" ht="12" customHeight="1">
      <c r="E685" s="51"/>
    </row>
    <row r="686" spans="5:5" ht="12" customHeight="1">
      <c r="E686" s="51"/>
    </row>
    <row r="687" spans="5:5" ht="12" customHeight="1">
      <c r="E687" s="51"/>
    </row>
    <row r="688" spans="5:5" ht="12" customHeight="1">
      <c r="E688" s="51"/>
    </row>
    <row r="689" spans="5:5" ht="12" customHeight="1">
      <c r="E689" s="51"/>
    </row>
    <row r="690" spans="5:5" ht="12" customHeight="1">
      <c r="E690" s="51"/>
    </row>
    <row r="691" spans="5:5" ht="12" customHeight="1">
      <c r="E691" s="51"/>
    </row>
    <row r="692" spans="5:5" ht="12" customHeight="1">
      <c r="E692" s="51"/>
    </row>
    <row r="693" spans="5:5" ht="12" customHeight="1">
      <c r="E693" s="51"/>
    </row>
    <row r="694" spans="5:5" ht="12" customHeight="1">
      <c r="E694" s="51"/>
    </row>
    <row r="695" spans="5:5" ht="12" customHeight="1">
      <c r="E695" s="51"/>
    </row>
    <row r="696" spans="5:5" ht="12" customHeight="1">
      <c r="E696" s="51"/>
    </row>
    <row r="697" spans="5:5" ht="12" customHeight="1">
      <c r="E697" s="51"/>
    </row>
    <row r="698" spans="5:5" ht="12" customHeight="1">
      <c r="E698" s="51"/>
    </row>
    <row r="699" spans="5:5" ht="12" customHeight="1">
      <c r="E699" s="51"/>
    </row>
    <row r="700" spans="5:5" ht="12" customHeight="1">
      <c r="E700" s="51"/>
    </row>
    <row r="701" spans="5:5" ht="12" customHeight="1">
      <c r="E701" s="51"/>
    </row>
    <row r="702" spans="5:5" ht="12" customHeight="1">
      <c r="E702" s="51"/>
    </row>
    <row r="703" spans="5:5" ht="12" customHeight="1">
      <c r="E703" s="51"/>
    </row>
    <row r="704" spans="5:5" ht="12" customHeight="1">
      <c r="E704" s="51"/>
    </row>
    <row r="705" spans="5:5" ht="12" customHeight="1">
      <c r="E705" s="51"/>
    </row>
    <row r="706" spans="5:5" ht="12" customHeight="1">
      <c r="E706" s="51"/>
    </row>
    <row r="707" spans="5:5" ht="12" customHeight="1">
      <c r="E707" s="51"/>
    </row>
    <row r="708" spans="5:5" ht="12" customHeight="1">
      <c r="E708" s="51"/>
    </row>
    <row r="709" spans="5:5" ht="12" customHeight="1">
      <c r="E709" s="51"/>
    </row>
    <row r="710" spans="5:5" ht="12" customHeight="1">
      <c r="E710" s="51"/>
    </row>
    <row r="711" spans="5:5" ht="12" customHeight="1">
      <c r="E711" s="51"/>
    </row>
    <row r="712" spans="5:5" ht="12" customHeight="1">
      <c r="E712" s="51"/>
    </row>
    <row r="713" spans="5:5" ht="12" customHeight="1">
      <c r="E713" s="51"/>
    </row>
    <row r="714" spans="5:5" ht="12" customHeight="1">
      <c r="E714" s="51"/>
    </row>
    <row r="715" spans="5:5" ht="12" customHeight="1">
      <c r="E715" s="51"/>
    </row>
    <row r="716" spans="5:5" ht="12" customHeight="1">
      <c r="E716" s="51"/>
    </row>
    <row r="717" spans="5:5" ht="12" customHeight="1">
      <c r="E717" s="51"/>
    </row>
    <row r="718" spans="5:5" ht="12" customHeight="1">
      <c r="E718" s="51"/>
    </row>
    <row r="719" spans="5:5" ht="12" customHeight="1">
      <c r="E719" s="51"/>
    </row>
    <row r="720" spans="5:5" ht="12" customHeight="1">
      <c r="E720" s="51"/>
    </row>
    <row r="721" spans="5:5" ht="12" customHeight="1">
      <c r="E721" s="51"/>
    </row>
    <row r="722" spans="5:5" ht="12" customHeight="1">
      <c r="E722" s="51"/>
    </row>
    <row r="723" spans="5:5" ht="12" customHeight="1">
      <c r="E723" s="51"/>
    </row>
    <row r="724" spans="5:5" ht="12" customHeight="1">
      <c r="E724" s="51"/>
    </row>
    <row r="725" spans="5:5" ht="12" customHeight="1">
      <c r="E725" s="51"/>
    </row>
    <row r="726" spans="5:5" ht="12" customHeight="1">
      <c r="E726" s="51"/>
    </row>
    <row r="727" spans="5:5" ht="12" customHeight="1">
      <c r="E727" s="51"/>
    </row>
    <row r="728" spans="5:5" ht="12" customHeight="1">
      <c r="E728" s="51"/>
    </row>
    <row r="729" spans="5:5" ht="12" customHeight="1">
      <c r="E729" s="51"/>
    </row>
    <row r="730" spans="5:5" ht="12" customHeight="1">
      <c r="E730" s="51"/>
    </row>
    <row r="731" spans="5:5" ht="12" customHeight="1">
      <c r="E731" s="51"/>
    </row>
    <row r="732" spans="5:5" ht="12" customHeight="1">
      <c r="E732" s="51"/>
    </row>
    <row r="733" spans="5:5" ht="12" customHeight="1">
      <c r="E733" s="51"/>
    </row>
    <row r="734" spans="5:5" ht="12" customHeight="1">
      <c r="E734" s="51"/>
    </row>
    <row r="735" spans="5:5" ht="12" customHeight="1">
      <c r="E735" s="51"/>
    </row>
    <row r="736" spans="5:5" ht="12" customHeight="1">
      <c r="E736" s="51"/>
    </row>
    <row r="737" spans="5:5" ht="12" customHeight="1">
      <c r="E737" s="51"/>
    </row>
    <row r="738" spans="5:5" ht="12" customHeight="1">
      <c r="E738" s="51"/>
    </row>
    <row r="739" spans="5:5" ht="12" customHeight="1">
      <c r="E739" s="51"/>
    </row>
    <row r="740" spans="5:5" ht="12" customHeight="1">
      <c r="E740" s="51"/>
    </row>
    <row r="741" spans="5:5" ht="12" customHeight="1">
      <c r="E741" s="51"/>
    </row>
    <row r="742" spans="5:5" ht="12" customHeight="1">
      <c r="E742" s="51"/>
    </row>
    <row r="743" spans="5:5" ht="12" customHeight="1">
      <c r="E743" s="51"/>
    </row>
    <row r="744" spans="5:5" ht="12" customHeight="1">
      <c r="E744" s="51"/>
    </row>
    <row r="745" spans="5:5" ht="12" customHeight="1">
      <c r="E745" s="51"/>
    </row>
    <row r="746" spans="5:5" ht="12" customHeight="1">
      <c r="E746" s="51"/>
    </row>
    <row r="747" spans="5:5" ht="12" customHeight="1">
      <c r="E747" s="51"/>
    </row>
    <row r="748" spans="5:5" ht="12" customHeight="1">
      <c r="E748" s="51"/>
    </row>
    <row r="749" spans="5:5" ht="12" customHeight="1">
      <c r="E749" s="51"/>
    </row>
    <row r="750" spans="5:5" ht="12" customHeight="1">
      <c r="E750" s="51"/>
    </row>
    <row r="751" spans="5:5" ht="12" customHeight="1">
      <c r="E751" s="51"/>
    </row>
    <row r="752" spans="5:5" ht="12" customHeight="1">
      <c r="E752" s="51"/>
    </row>
    <row r="753" spans="5:5" ht="12" customHeight="1">
      <c r="E753" s="51"/>
    </row>
    <row r="754" spans="5:5" ht="12" customHeight="1">
      <c r="E754" s="51"/>
    </row>
    <row r="755" spans="5:5" ht="12" customHeight="1">
      <c r="E755" s="51"/>
    </row>
    <row r="756" spans="5:5" ht="12" customHeight="1">
      <c r="E756" s="51"/>
    </row>
    <row r="757" spans="5:5" ht="12" customHeight="1">
      <c r="E757" s="51"/>
    </row>
    <row r="758" spans="5:5" ht="12" customHeight="1">
      <c r="E758" s="51"/>
    </row>
    <row r="759" spans="5:5" ht="12" customHeight="1">
      <c r="E759" s="51"/>
    </row>
    <row r="760" spans="5:5" ht="12" customHeight="1">
      <c r="E760" s="51"/>
    </row>
    <row r="761" spans="5:5" ht="12" customHeight="1">
      <c r="E761" s="51"/>
    </row>
    <row r="762" spans="5:5" ht="12" customHeight="1">
      <c r="E762" s="51"/>
    </row>
    <row r="763" spans="5:5" ht="12" customHeight="1">
      <c r="E763" s="51"/>
    </row>
    <row r="764" spans="5:5" ht="12" customHeight="1">
      <c r="E764" s="51"/>
    </row>
    <row r="765" spans="5:5" ht="12" customHeight="1">
      <c r="E765" s="51"/>
    </row>
    <row r="766" spans="5:5" ht="12" customHeight="1">
      <c r="E766" s="51"/>
    </row>
    <row r="767" spans="5:5" ht="12" customHeight="1">
      <c r="E767" s="51"/>
    </row>
    <row r="768" spans="5:5" ht="12" customHeight="1">
      <c r="E768" s="51"/>
    </row>
    <row r="769" spans="5:5" ht="12" customHeight="1">
      <c r="E769" s="51"/>
    </row>
    <row r="770" spans="5:5" ht="12" customHeight="1">
      <c r="E770" s="51"/>
    </row>
    <row r="771" spans="5:5" ht="12" customHeight="1">
      <c r="E771" s="51"/>
    </row>
    <row r="772" spans="5:5" ht="12" customHeight="1">
      <c r="E772" s="51"/>
    </row>
    <row r="773" spans="5:5" ht="12" customHeight="1">
      <c r="E773" s="51"/>
    </row>
    <row r="774" spans="5:5" ht="12" customHeight="1">
      <c r="E774" s="51"/>
    </row>
    <row r="775" spans="5:5" ht="12" customHeight="1">
      <c r="E775" s="51"/>
    </row>
    <row r="776" spans="5:5" ht="12" customHeight="1">
      <c r="E776" s="51"/>
    </row>
    <row r="777" spans="5:5" ht="12" customHeight="1">
      <c r="E777" s="51"/>
    </row>
    <row r="778" spans="5:5" ht="12" customHeight="1">
      <c r="E778" s="51"/>
    </row>
    <row r="779" spans="5:5" ht="12" customHeight="1">
      <c r="E779" s="51"/>
    </row>
    <row r="780" spans="5:5" ht="12" customHeight="1">
      <c r="E780" s="51"/>
    </row>
    <row r="781" spans="5:5" ht="12" customHeight="1">
      <c r="E781" s="51"/>
    </row>
    <row r="782" spans="5:5" ht="12" customHeight="1">
      <c r="E782" s="51"/>
    </row>
    <row r="783" spans="5:5" ht="12" customHeight="1">
      <c r="E783" s="51"/>
    </row>
    <row r="784" spans="5:5" ht="12" customHeight="1">
      <c r="E784" s="51"/>
    </row>
    <row r="785" spans="5:5" ht="12" customHeight="1">
      <c r="E785" s="51"/>
    </row>
    <row r="786" spans="5:5" ht="12" customHeight="1">
      <c r="E786" s="51"/>
    </row>
    <row r="787" spans="5:5" ht="12" customHeight="1">
      <c r="E787" s="51"/>
    </row>
    <row r="788" spans="5:5" ht="12" customHeight="1">
      <c r="E788" s="51"/>
    </row>
    <row r="789" spans="5:5" ht="12" customHeight="1">
      <c r="E789" s="51"/>
    </row>
    <row r="790" spans="5:5" ht="12" customHeight="1">
      <c r="E790" s="51"/>
    </row>
    <row r="791" spans="5:5" ht="12" customHeight="1">
      <c r="E791" s="51"/>
    </row>
    <row r="792" spans="5:5" ht="12" customHeight="1">
      <c r="E792" s="51"/>
    </row>
    <row r="793" spans="5:5" ht="12" customHeight="1">
      <c r="E793" s="51"/>
    </row>
    <row r="794" spans="5:5" ht="12" customHeight="1">
      <c r="E794" s="51"/>
    </row>
    <row r="795" spans="5:5" ht="12" customHeight="1">
      <c r="E795" s="51"/>
    </row>
    <row r="796" spans="5:5" ht="12" customHeight="1">
      <c r="E796" s="51"/>
    </row>
    <row r="797" spans="5:5" ht="12" customHeight="1">
      <c r="E797" s="51"/>
    </row>
    <row r="798" spans="5:5" ht="12" customHeight="1">
      <c r="E798" s="51"/>
    </row>
    <row r="799" spans="5:5" ht="12" customHeight="1">
      <c r="E799" s="51"/>
    </row>
    <row r="800" spans="5:5" ht="12" customHeight="1">
      <c r="E800" s="51"/>
    </row>
    <row r="801" spans="5:5" ht="12" customHeight="1">
      <c r="E801" s="51"/>
    </row>
    <row r="802" spans="5:5" ht="12" customHeight="1">
      <c r="E802" s="51"/>
    </row>
    <row r="803" spans="5:5" ht="12" customHeight="1">
      <c r="E803" s="51"/>
    </row>
    <row r="804" spans="5:5" ht="12" customHeight="1">
      <c r="E804" s="51"/>
    </row>
    <row r="805" spans="5:5" ht="12" customHeight="1">
      <c r="E805" s="51"/>
    </row>
    <row r="806" spans="5:5" ht="12" customHeight="1">
      <c r="E806" s="51"/>
    </row>
    <row r="807" spans="5:5" ht="12" customHeight="1">
      <c r="E807" s="51"/>
    </row>
    <row r="808" spans="5:5" ht="12" customHeight="1">
      <c r="E808" s="51"/>
    </row>
    <row r="809" spans="5:5" ht="12" customHeight="1">
      <c r="E809" s="51"/>
    </row>
    <row r="810" spans="5:5" ht="12" customHeight="1">
      <c r="E810" s="51"/>
    </row>
    <row r="811" spans="5:5" ht="12" customHeight="1">
      <c r="E811" s="51"/>
    </row>
    <row r="812" spans="5:5" ht="12" customHeight="1">
      <c r="E812" s="51"/>
    </row>
    <row r="813" spans="5:5" ht="12" customHeight="1">
      <c r="E813" s="51"/>
    </row>
    <row r="814" spans="5:5" ht="12" customHeight="1">
      <c r="E814" s="51"/>
    </row>
    <row r="815" spans="5:5" ht="12" customHeight="1">
      <c r="E815" s="51"/>
    </row>
    <row r="816" spans="5:5" ht="12" customHeight="1">
      <c r="E816" s="51"/>
    </row>
    <row r="817" spans="5:5" ht="12" customHeight="1">
      <c r="E817" s="51"/>
    </row>
    <row r="818" spans="5:5" ht="12" customHeight="1">
      <c r="E818" s="51"/>
    </row>
    <row r="819" spans="5:5" ht="12" customHeight="1">
      <c r="E819" s="51"/>
    </row>
    <row r="820" spans="5:5" ht="12" customHeight="1">
      <c r="E820" s="51"/>
    </row>
    <row r="821" spans="5:5" ht="12" customHeight="1">
      <c r="E821" s="51"/>
    </row>
    <row r="822" spans="5:5" ht="12" customHeight="1">
      <c r="E822" s="51"/>
    </row>
    <row r="823" spans="5:5" ht="12" customHeight="1">
      <c r="E823" s="51"/>
    </row>
    <row r="824" spans="5:5" ht="12" customHeight="1">
      <c r="E824" s="51"/>
    </row>
    <row r="825" spans="5:5" ht="12" customHeight="1">
      <c r="E825" s="51"/>
    </row>
    <row r="826" spans="5:5" ht="12" customHeight="1">
      <c r="E826" s="51"/>
    </row>
    <row r="827" spans="5:5" ht="12" customHeight="1">
      <c r="E827" s="51"/>
    </row>
    <row r="828" spans="5:5" ht="12" customHeight="1">
      <c r="E828" s="51"/>
    </row>
    <row r="829" spans="5:5" ht="12" customHeight="1">
      <c r="E829" s="51"/>
    </row>
    <row r="830" spans="5:5" ht="12" customHeight="1">
      <c r="E830" s="51"/>
    </row>
    <row r="831" spans="5:5" ht="12" customHeight="1">
      <c r="E831" s="51"/>
    </row>
    <row r="832" spans="5:5" ht="12" customHeight="1">
      <c r="E832" s="51"/>
    </row>
    <row r="833" spans="5:5" ht="12" customHeight="1">
      <c r="E833" s="51"/>
    </row>
    <row r="834" spans="5:5" ht="12" customHeight="1">
      <c r="E834" s="51"/>
    </row>
    <row r="835" spans="5:5" ht="12" customHeight="1">
      <c r="E835" s="51"/>
    </row>
    <row r="836" spans="5:5" ht="12" customHeight="1">
      <c r="E836" s="51"/>
    </row>
    <row r="837" spans="5:5" ht="12" customHeight="1">
      <c r="E837" s="51"/>
    </row>
    <row r="838" spans="5:5" ht="12" customHeight="1">
      <c r="E838" s="51"/>
    </row>
    <row r="839" spans="5:5" ht="12" customHeight="1">
      <c r="E839" s="51"/>
    </row>
    <row r="840" spans="5:5" ht="12" customHeight="1">
      <c r="E840" s="51"/>
    </row>
    <row r="841" spans="5:5" ht="12" customHeight="1">
      <c r="E841" s="51"/>
    </row>
    <row r="842" spans="5:5" ht="12" customHeight="1">
      <c r="E842" s="51"/>
    </row>
    <row r="843" spans="5:5" ht="12" customHeight="1">
      <c r="E843" s="51"/>
    </row>
    <row r="844" spans="5:5" ht="12" customHeight="1">
      <c r="E844" s="51"/>
    </row>
    <row r="845" spans="5:5" ht="12" customHeight="1">
      <c r="E845" s="51"/>
    </row>
    <row r="846" spans="5:5" ht="12" customHeight="1">
      <c r="E846" s="51"/>
    </row>
    <row r="847" spans="5:5" ht="12" customHeight="1">
      <c r="E847" s="51"/>
    </row>
    <row r="848" spans="5:5" ht="12" customHeight="1">
      <c r="E848" s="51"/>
    </row>
    <row r="849" spans="5:5" ht="12" customHeight="1">
      <c r="E849" s="51"/>
    </row>
    <row r="850" spans="5:5" ht="12" customHeight="1">
      <c r="E850" s="51"/>
    </row>
    <row r="851" spans="5:5" ht="12" customHeight="1">
      <c r="E851" s="51"/>
    </row>
    <row r="852" spans="5:5" ht="12" customHeight="1">
      <c r="E852" s="51"/>
    </row>
    <row r="853" spans="5:5" ht="12" customHeight="1">
      <c r="E853" s="51"/>
    </row>
    <row r="854" spans="5:5" ht="12" customHeight="1">
      <c r="E854" s="51"/>
    </row>
    <row r="855" spans="5:5" ht="12" customHeight="1">
      <c r="E855" s="51"/>
    </row>
    <row r="856" spans="5:5" ht="12" customHeight="1">
      <c r="E856" s="51"/>
    </row>
    <row r="857" spans="5:5" ht="12" customHeight="1">
      <c r="E857" s="51"/>
    </row>
    <row r="858" spans="5:5" ht="12" customHeight="1">
      <c r="E858" s="51"/>
    </row>
    <row r="859" spans="5:5" ht="12" customHeight="1">
      <c r="E859" s="51"/>
    </row>
    <row r="860" spans="5:5" ht="12" customHeight="1">
      <c r="E860" s="51"/>
    </row>
    <row r="861" spans="5:5" ht="12" customHeight="1">
      <c r="E861" s="51"/>
    </row>
    <row r="862" spans="5:5" ht="12" customHeight="1">
      <c r="E862" s="51"/>
    </row>
    <row r="863" spans="5:5" ht="12" customHeight="1">
      <c r="E863" s="51"/>
    </row>
    <row r="864" spans="5:5" ht="12" customHeight="1">
      <c r="E864" s="51"/>
    </row>
    <row r="865" spans="5:5" ht="12" customHeight="1">
      <c r="E865" s="51"/>
    </row>
    <row r="866" spans="5:5" ht="12" customHeight="1">
      <c r="E866" s="51"/>
    </row>
    <row r="867" spans="5:5" ht="12" customHeight="1">
      <c r="E867" s="51"/>
    </row>
    <row r="868" spans="5:5" ht="12" customHeight="1">
      <c r="E868" s="51"/>
    </row>
    <row r="869" spans="5:5" ht="12" customHeight="1">
      <c r="E869" s="51"/>
    </row>
    <row r="870" spans="5:5" ht="12" customHeight="1">
      <c r="E870" s="51"/>
    </row>
    <row r="871" spans="5:5" ht="12" customHeight="1">
      <c r="E871" s="51"/>
    </row>
    <row r="872" spans="5:5" ht="12" customHeight="1">
      <c r="E872" s="51"/>
    </row>
    <row r="873" spans="5:5" ht="12" customHeight="1">
      <c r="E873" s="51"/>
    </row>
    <row r="874" spans="5:5" ht="12" customHeight="1">
      <c r="E874" s="51"/>
    </row>
    <row r="875" spans="5:5" ht="12" customHeight="1">
      <c r="E875" s="51"/>
    </row>
    <row r="876" spans="5:5" ht="12" customHeight="1">
      <c r="E876" s="51"/>
    </row>
    <row r="877" spans="5:5" ht="12" customHeight="1">
      <c r="E877" s="51"/>
    </row>
    <row r="878" spans="5:5" ht="12" customHeight="1">
      <c r="E878" s="51"/>
    </row>
    <row r="879" spans="5:5" ht="12" customHeight="1">
      <c r="E879" s="51"/>
    </row>
    <row r="880" spans="5:5" ht="12" customHeight="1">
      <c r="E880" s="51"/>
    </row>
    <row r="881" spans="5:5" ht="12" customHeight="1">
      <c r="E881" s="51"/>
    </row>
    <row r="882" spans="5:5" ht="12" customHeight="1">
      <c r="E882" s="51"/>
    </row>
    <row r="883" spans="5:5" ht="12" customHeight="1">
      <c r="E883" s="51"/>
    </row>
    <row r="884" spans="5:5" ht="12" customHeight="1">
      <c r="E884" s="51"/>
    </row>
    <row r="885" spans="5:5" ht="12" customHeight="1">
      <c r="E885" s="51"/>
    </row>
    <row r="886" spans="5:5" ht="12" customHeight="1">
      <c r="E886" s="51"/>
    </row>
    <row r="887" spans="5:5" ht="12" customHeight="1">
      <c r="E887" s="51"/>
    </row>
    <row r="888" spans="5:5" ht="12" customHeight="1">
      <c r="E888" s="51"/>
    </row>
    <row r="889" spans="5:5" ht="12" customHeight="1">
      <c r="E889" s="51"/>
    </row>
    <row r="890" spans="5:5" ht="12" customHeight="1">
      <c r="E890" s="51"/>
    </row>
    <row r="891" spans="5:5" ht="12" customHeight="1">
      <c r="E891" s="51"/>
    </row>
    <row r="892" spans="5:5" ht="12" customHeight="1">
      <c r="E892" s="51"/>
    </row>
    <row r="893" spans="5:5" ht="12" customHeight="1">
      <c r="E893" s="51"/>
    </row>
    <row r="894" spans="5:5" ht="12" customHeight="1">
      <c r="E894" s="51"/>
    </row>
    <row r="895" spans="5:5" ht="12" customHeight="1">
      <c r="E895" s="51"/>
    </row>
    <row r="896" spans="5:5" ht="12" customHeight="1">
      <c r="E896" s="51"/>
    </row>
    <row r="897" spans="5:5" ht="12" customHeight="1">
      <c r="E897" s="51"/>
    </row>
    <row r="898" spans="5:5" ht="12" customHeight="1">
      <c r="E898" s="51"/>
    </row>
    <row r="899" spans="5:5" ht="12" customHeight="1">
      <c r="E899" s="51"/>
    </row>
    <row r="900" spans="5:5" ht="12" customHeight="1">
      <c r="E900" s="51"/>
    </row>
    <row r="901" spans="5:5" ht="12" customHeight="1">
      <c r="E901" s="51"/>
    </row>
    <row r="902" spans="5:5" ht="12" customHeight="1">
      <c r="E902" s="51"/>
    </row>
    <row r="903" spans="5:5" ht="12" customHeight="1">
      <c r="E903" s="51"/>
    </row>
    <row r="904" spans="5:5" ht="12" customHeight="1">
      <c r="E904" s="51"/>
    </row>
    <row r="905" spans="5:5" ht="12" customHeight="1">
      <c r="E905" s="51"/>
    </row>
    <row r="906" spans="5:5" ht="12" customHeight="1">
      <c r="E906" s="51"/>
    </row>
    <row r="907" spans="5:5" ht="12" customHeight="1">
      <c r="E907" s="51"/>
    </row>
    <row r="908" spans="5:5" ht="12" customHeight="1">
      <c r="E908" s="51"/>
    </row>
    <row r="909" spans="5:5" ht="12" customHeight="1">
      <c r="E909" s="51"/>
    </row>
    <row r="910" spans="5:5" ht="12" customHeight="1">
      <c r="E910" s="51"/>
    </row>
    <row r="911" spans="5:5" ht="12" customHeight="1">
      <c r="E911" s="51"/>
    </row>
    <row r="912" spans="5:5" ht="12" customHeight="1">
      <c r="E912" s="51"/>
    </row>
    <row r="913" spans="5:5" ht="12" customHeight="1">
      <c r="E913" s="51"/>
    </row>
    <row r="914" spans="5:5" ht="12" customHeight="1">
      <c r="E914" s="51"/>
    </row>
    <row r="915" spans="5:5" ht="12" customHeight="1">
      <c r="E915" s="51"/>
    </row>
    <row r="916" spans="5:5" ht="12" customHeight="1">
      <c r="E916" s="51"/>
    </row>
    <row r="917" spans="5:5" ht="12" customHeight="1">
      <c r="E917" s="51"/>
    </row>
    <row r="918" spans="5:5" ht="12" customHeight="1">
      <c r="E918" s="51"/>
    </row>
    <row r="919" spans="5:5" ht="12" customHeight="1">
      <c r="E919" s="51"/>
    </row>
    <row r="920" spans="5:5" ht="12" customHeight="1">
      <c r="E920" s="51"/>
    </row>
    <row r="921" spans="5:5" ht="12" customHeight="1">
      <c r="E921" s="51"/>
    </row>
    <row r="922" spans="5:5" ht="12" customHeight="1">
      <c r="E922" s="51"/>
    </row>
    <row r="923" spans="5:5" ht="12" customHeight="1">
      <c r="E923" s="51"/>
    </row>
    <row r="924" spans="5:5" ht="12" customHeight="1">
      <c r="E924" s="51"/>
    </row>
    <row r="925" spans="5:5" ht="12" customHeight="1">
      <c r="E925" s="51"/>
    </row>
    <row r="926" spans="5:5" ht="12" customHeight="1">
      <c r="E926" s="51"/>
    </row>
    <row r="927" spans="5:5" ht="12" customHeight="1">
      <c r="E927" s="51"/>
    </row>
    <row r="928" spans="5:5" ht="12" customHeight="1">
      <c r="E928" s="51"/>
    </row>
    <row r="929" spans="5:5" ht="12" customHeight="1">
      <c r="E929" s="51"/>
    </row>
    <row r="930" spans="5:5" ht="12" customHeight="1">
      <c r="E930" s="51"/>
    </row>
    <row r="931" spans="5:5" ht="12" customHeight="1">
      <c r="E931" s="51"/>
    </row>
    <row r="932" spans="5:5" ht="12" customHeight="1">
      <c r="E932" s="51"/>
    </row>
    <row r="933" spans="5:5" ht="12" customHeight="1">
      <c r="E933" s="51"/>
    </row>
    <row r="934" spans="5:5" ht="12" customHeight="1">
      <c r="E934" s="51"/>
    </row>
    <row r="935" spans="5:5" ht="12" customHeight="1">
      <c r="E935" s="51"/>
    </row>
    <row r="936" spans="5:5" ht="12" customHeight="1">
      <c r="E936" s="51"/>
    </row>
    <row r="937" spans="5:5" ht="12" customHeight="1">
      <c r="E937" s="51"/>
    </row>
    <row r="938" spans="5:5" ht="12" customHeight="1">
      <c r="E938" s="51"/>
    </row>
    <row r="939" spans="5:5" ht="12" customHeight="1">
      <c r="E939" s="51"/>
    </row>
    <row r="940" spans="5:5" ht="12" customHeight="1">
      <c r="E940" s="51"/>
    </row>
    <row r="941" spans="5:5" ht="12" customHeight="1">
      <c r="E941" s="51"/>
    </row>
    <row r="942" spans="5:5" ht="12" customHeight="1">
      <c r="E942" s="51"/>
    </row>
    <row r="943" spans="5:5" ht="12" customHeight="1">
      <c r="E943" s="51"/>
    </row>
    <row r="944" spans="5:5" ht="12" customHeight="1">
      <c r="E944" s="51"/>
    </row>
    <row r="945" spans="5:5" ht="12" customHeight="1">
      <c r="E945" s="51"/>
    </row>
    <row r="946" spans="5:5" ht="12" customHeight="1">
      <c r="E946" s="51"/>
    </row>
    <row r="947" spans="5:5" ht="12" customHeight="1">
      <c r="E947" s="51"/>
    </row>
    <row r="948" spans="5:5" ht="12" customHeight="1">
      <c r="E948" s="51"/>
    </row>
    <row r="949" spans="5:5" ht="12" customHeight="1">
      <c r="E949" s="51"/>
    </row>
    <row r="950" spans="5:5" ht="12" customHeight="1">
      <c r="E950" s="51"/>
    </row>
    <row r="951" spans="5:5" ht="12" customHeight="1">
      <c r="E951" s="51"/>
    </row>
    <row r="952" spans="5:5" ht="12" customHeight="1">
      <c r="E952" s="51"/>
    </row>
    <row r="953" spans="5:5" ht="12" customHeight="1">
      <c r="E953" s="51"/>
    </row>
    <row r="954" spans="5:5" ht="12" customHeight="1">
      <c r="E954" s="51"/>
    </row>
    <row r="955" spans="5:5" ht="12" customHeight="1">
      <c r="E955" s="51"/>
    </row>
    <row r="956" spans="5:5" ht="12" customHeight="1">
      <c r="E956" s="51"/>
    </row>
    <row r="957" spans="5:5" ht="12" customHeight="1">
      <c r="E957" s="51"/>
    </row>
    <row r="958" spans="5:5" ht="12" customHeight="1">
      <c r="E958" s="51"/>
    </row>
    <row r="959" spans="5:5" ht="12" customHeight="1">
      <c r="E959" s="51"/>
    </row>
    <row r="960" spans="5:5" ht="12" customHeight="1">
      <c r="E960" s="51"/>
    </row>
    <row r="961" spans="5:5" ht="12" customHeight="1">
      <c r="E961" s="51"/>
    </row>
    <row r="962" spans="5:5" ht="12" customHeight="1">
      <c r="E962" s="51"/>
    </row>
    <row r="963" spans="5:5" ht="12" customHeight="1">
      <c r="E963" s="51"/>
    </row>
    <row r="964" spans="5:5" ht="12" customHeight="1">
      <c r="E964" s="51"/>
    </row>
    <row r="965" spans="5:5" ht="12" customHeight="1">
      <c r="E965" s="51"/>
    </row>
    <row r="966" spans="5:5" ht="12" customHeight="1">
      <c r="E966" s="51"/>
    </row>
    <row r="967" spans="5:5" ht="12" customHeight="1">
      <c r="E967" s="51"/>
    </row>
    <row r="968" spans="5:5" ht="12" customHeight="1">
      <c r="E968" s="51"/>
    </row>
    <row r="969" spans="5:5" ht="12" customHeight="1">
      <c r="E969" s="51"/>
    </row>
    <row r="970" spans="5:5" ht="12" customHeight="1">
      <c r="E970" s="51"/>
    </row>
    <row r="971" spans="5:5" ht="12" customHeight="1">
      <c r="E971" s="51"/>
    </row>
    <row r="972" spans="5:5" ht="12" customHeight="1">
      <c r="E972" s="51"/>
    </row>
    <row r="973" spans="5:5" ht="12" customHeight="1">
      <c r="E973" s="51"/>
    </row>
    <row r="974" spans="5:5" ht="12" customHeight="1">
      <c r="E974" s="51"/>
    </row>
    <row r="975" spans="5:5" ht="12" customHeight="1">
      <c r="E975" s="51"/>
    </row>
    <row r="976" spans="5:5" ht="12" customHeight="1">
      <c r="E976" s="51"/>
    </row>
    <row r="977" spans="5:5" ht="12" customHeight="1">
      <c r="E977" s="51"/>
    </row>
    <row r="978" spans="5:5" ht="12" customHeight="1">
      <c r="E978" s="51"/>
    </row>
    <row r="979" spans="5:5" ht="12" customHeight="1">
      <c r="E979" s="51"/>
    </row>
    <row r="980" spans="5:5" ht="12" customHeight="1">
      <c r="E980" s="51"/>
    </row>
    <row r="981" spans="5:5" ht="12" customHeight="1">
      <c r="E981" s="51"/>
    </row>
    <row r="982" spans="5:5" ht="12" customHeight="1">
      <c r="E982" s="51"/>
    </row>
    <row r="983" spans="5:5" ht="12" customHeight="1">
      <c r="E983" s="51"/>
    </row>
    <row r="984" spans="5:5" ht="12" customHeight="1">
      <c r="E984" s="51"/>
    </row>
    <row r="985" spans="5:5" ht="12" customHeight="1">
      <c r="E985" s="51"/>
    </row>
    <row r="986" spans="5:5" ht="12" customHeight="1">
      <c r="E986" s="51"/>
    </row>
    <row r="987" spans="5:5" ht="12" customHeight="1">
      <c r="E987" s="51"/>
    </row>
    <row r="988" spans="5:5" ht="12" customHeight="1">
      <c r="E988" s="51"/>
    </row>
    <row r="989" spans="5:5" ht="12" customHeight="1">
      <c r="E989" s="51"/>
    </row>
    <row r="990" spans="5:5" ht="12" customHeight="1">
      <c r="E990" s="51"/>
    </row>
    <row r="991" spans="5:5" ht="12" customHeight="1">
      <c r="E991" s="51"/>
    </row>
    <row r="992" spans="5:5" ht="12" customHeight="1">
      <c r="E992" s="51"/>
    </row>
    <row r="993" spans="5:5" ht="12" customHeight="1">
      <c r="E993" s="51"/>
    </row>
    <row r="994" spans="5:5" ht="12" customHeight="1">
      <c r="E994" s="51"/>
    </row>
    <row r="995" spans="5:5" ht="12" customHeight="1">
      <c r="E995" s="51"/>
    </row>
    <row r="996" spans="5:5" ht="12" customHeight="1">
      <c r="E996" s="51"/>
    </row>
    <row r="997" spans="5:5" ht="12" customHeight="1">
      <c r="E997" s="51"/>
    </row>
    <row r="998" spans="5:5" ht="12" customHeight="1">
      <c r="E998" s="51"/>
    </row>
    <row r="999" spans="5:5" ht="12" customHeight="1">
      <c r="E999" s="51"/>
    </row>
    <row r="1000" spans="5:5" ht="12" customHeight="1">
      <c r="E1000" s="51"/>
    </row>
    <row r="1001" spans="5:5" ht="12" customHeight="1">
      <c r="E1001" s="51"/>
    </row>
    <row r="1002" spans="5:5" ht="12" customHeight="1">
      <c r="E1002" s="51"/>
    </row>
    <row r="1003" spans="5:5" ht="12" customHeight="1">
      <c r="E1003" s="51"/>
    </row>
    <row r="1004" spans="5:5" ht="12" customHeight="1">
      <c r="E1004" s="51"/>
    </row>
    <row r="1005" spans="5:5" ht="12" customHeight="1">
      <c r="E1005" s="51"/>
    </row>
  </sheetData>
  <mergeCells count="20">
    <mergeCell ref="L45:M45"/>
    <mergeCell ref="C34:E34"/>
    <mergeCell ref="I34:J34"/>
    <mergeCell ref="D41:E41"/>
    <mergeCell ref="D42:E42"/>
    <mergeCell ref="D43:E43"/>
    <mergeCell ref="C45:D45"/>
    <mergeCell ref="H45:I45"/>
    <mergeCell ref="I29:J29"/>
    <mergeCell ref="C2:G2"/>
    <mergeCell ref="I2:M2"/>
    <mergeCell ref="J3:M3"/>
    <mergeCell ref="C13:D13"/>
    <mergeCell ref="H13:J13"/>
    <mergeCell ref="L13:M13"/>
    <mergeCell ref="I17:J17"/>
    <mergeCell ref="I20:J20"/>
    <mergeCell ref="I23:J23"/>
    <mergeCell ref="C25:D25"/>
    <mergeCell ref="I26:J26"/>
  </mergeCells>
  <conditionalFormatting sqref="E53">
    <cfRule type="containsText" dxfId="7" priority="7" operator="containsText" text=" Precio Base muy bajo, aumentar">
      <formula>NOT(ISERROR(SEARCH(" Precio Base muy bajo, aumentar",E53)))</formula>
    </cfRule>
  </conditionalFormatting>
  <conditionalFormatting sqref="M32">
    <cfRule type="cellIs" dxfId="6" priority="5" operator="lessThan">
      <formula>0</formula>
    </cfRule>
    <cfRule type="cellIs" dxfId="5" priority="6" operator="greaterThan">
      <formula>0</formula>
    </cfRule>
  </conditionalFormatting>
  <conditionalFormatting sqref="M35">
    <cfRule type="cellIs" dxfId="4" priority="3" operator="lessThan">
      <formula>0</formula>
    </cfRule>
    <cfRule type="cellIs" dxfId="3" priority="4" operator="greaterThan">
      <formula>0</formula>
    </cfRule>
  </conditionalFormatting>
  <conditionalFormatting sqref="M38:M40">
    <cfRule type="cellIs" dxfId="2" priority="1" operator="lessThan">
      <formula>0</formula>
    </cfRule>
    <cfRule type="cellIs" dxfId="1" priority="2" operator="greaterThan">
      <formula>0</formula>
    </cfRule>
  </conditionalFormatting>
  <conditionalFormatting sqref="M46">
    <cfRule type="cellIs" dxfId="0" priority="8" operator="lessThan">
      <formula>0</formula>
    </cfRule>
  </conditionalFormatting>
  <dataValidations disablePrompts="1" count="2">
    <dataValidation type="list" allowBlank="1" showInputMessage="1" showErrorMessage="1" sqref="M12" xr:uid="{00000000-0002-0000-0100-000000000000}">
      <formula1>$W$18:$W$47</formula1>
    </dataValidation>
    <dataValidation type="list" allowBlank="1" showInputMessage="1" showErrorMessage="1" sqref="D49" xr:uid="{00000000-0002-0000-0100-000001000000}">
      <formula1>$W$15:$W$16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Pablo Mejia</dc:creator>
  <cp:keywords/>
  <dc:description/>
  <cp:lastModifiedBy>Juan Pablo Mejia</cp:lastModifiedBy>
  <cp:revision/>
  <dcterms:created xsi:type="dcterms:W3CDTF">2023-11-09T23:33:34Z</dcterms:created>
  <dcterms:modified xsi:type="dcterms:W3CDTF">2025-06-04T15:15:51Z</dcterms:modified>
  <cp:category/>
  <cp:contentStatus/>
</cp:coreProperties>
</file>